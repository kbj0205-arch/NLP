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규칙표" sheetId="2" state="visible" r:id="rId4"/>
    <sheet name="독립판정" sheetId="3" state="visible" r:id="rId5"/>
    <sheet name="검토(AI초안)" sheetId="4" state="visible" r:id="rId6"/>
    <sheet name="연습문항" sheetId="5" state="visible" r:id="rId7"/>
    <sheet name="집계" sheetId="6" state="visible" r:id="rId8"/>
  </sheets>
  <definedNames>
    <definedName function="false" hidden="true" localSheetId="3" name="_xlnm._FilterDatabase" vbProcedure="false">'검토(AI초안)'!$A$3:$V$700</definedName>
    <definedName function="false" hidden="true" localSheetId="2" name="_xlnm._FilterDatabase" vbProcedure="false">독립판정!$A$3:$Q$400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<sst xmlns="http://schemas.openxmlformats.org/spreadsheetml/2006/main" count="1887" uniqueCount="304">
  <si>
    <r>
      <rPr>
        <b val="true"/>
        <sz val="13"/>
        <rFont val="WenQuanYi Zen Hei"/>
        <family val="2"/>
      </rPr>
      <t xml:space="preserve">주제부 판정 시트 </t>
    </r>
    <r>
      <rPr>
        <b val="true"/>
        <sz val="13"/>
        <rFont val="맑은 고딕"/>
        <family val="0"/>
        <charset val="1"/>
      </rPr>
      <t xml:space="preserve">(CT2S-1.0 · </t>
    </r>
    <r>
      <rPr>
        <b val="true"/>
        <sz val="13"/>
        <rFont val="WenQuanYi Zen Hei"/>
        <family val="2"/>
      </rPr>
      <t xml:space="preserve">적용 보충 </t>
    </r>
    <r>
      <rPr>
        <b val="true"/>
        <sz val="13"/>
        <rFont val="맑은 고딕"/>
        <family val="0"/>
        <charset val="1"/>
      </rPr>
      <t xml:space="preserve">A1 </t>
    </r>
    <r>
      <rPr>
        <b val="true"/>
        <sz val="13"/>
        <rFont val="WenQuanYi Zen Hei"/>
        <family val="2"/>
      </rPr>
      <t xml:space="preserve">기준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</si>
  <si>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작성 </t>
    </r>
    <r>
      <rPr>
        <sz val="9"/>
        <color rgb="FF666666"/>
        <rFont val="맑은 고딕"/>
        <family val="0"/>
        <charset val="1"/>
      </rPr>
      <t xml:space="preserve">2026-10-05. </t>
    </r>
    <r>
      <rPr>
        <sz val="9"/>
        <color rgb="FF666666"/>
        <rFont val="WenQuanYi Zen Hei"/>
        <family val="2"/>
      </rPr>
      <t xml:space="preserve">규칙표 요약은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WenQuanYi Zen Hei"/>
        <family val="2"/>
      </rPr>
      <t xml:space="preserve">규칙표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WenQuanYi Zen Hei"/>
        <family val="2"/>
      </rPr>
      <t xml:space="preserve">탭에 있고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판정은 규칙표 전문</t>
    </r>
    <r>
      <rPr>
        <sz val="9"/>
        <color rgb="FF666666"/>
        <rFont val="맑은 고딕"/>
        <family val="0"/>
        <charset val="1"/>
      </rPr>
      <t xml:space="preserve">(A_W_</t>
    </r>
    <r>
      <rPr>
        <sz val="9"/>
        <color rgb="FF666666"/>
        <rFont val="WenQuanYi Zen Hei"/>
        <family val="2"/>
      </rPr>
      <t xml:space="preserve">단순규칙확정과</t>
    </r>
    <r>
      <rPr>
        <sz val="9"/>
        <color rgb="FF666666"/>
        <rFont val="맑은 고딕"/>
        <family val="0"/>
        <charset val="1"/>
      </rPr>
      <t xml:space="preserve">_</t>
    </r>
    <r>
      <rPr>
        <sz val="9"/>
        <color rgb="FF666666"/>
        <rFont val="WenQuanYi Zen Hei"/>
        <family val="2"/>
      </rPr>
      <t xml:space="preserve">실행지시</t>
    </r>
    <r>
      <rPr>
        <sz val="9"/>
        <color rgb="FF666666"/>
        <rFont val="맑은 고딕"/>
        <family val="0"/>
        <charset val="1"/>
      </rPr>
      <t xml:space="preserve">_CT2S_1.0_2026-10-04.docx)</t>
    </r>
    <r>
      <rPr>
        <sz val="9"/>
        <color rgb="FF666666"/>
        <rFont val="WenQuanYi Zen Hei"/>
        <family val="2"/>
      </rPr>
      <t xml:space="preserve">을 따른다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</si>
  <si>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탭의 쓰임</t>
    </r>
  </si>
  <si>
    <t xml:space="preserve">독립판정</t>
  </si>
  <si>
    <r>
      <rPr>
        <sz val="10"/>
        <rFont val="WenQuanYi Zen Hei"/>
        <family val="2"/>
      </rPr>
      <t xml:space="preserve">사람이 모델 예측과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판정을 보지 않고 규칙표만으로 판정한다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학습자 글에서의 모델 성능을 사람 기준으로 재는 데 쓴다</t>
    </r>
    <r>
      <rPr>
        <sz val="10"/>
        <rFont val="맑은 고딕"/>
        <family val="0"/>
        <charset val="1"/>
      </rPr>
      <t xml:space="preserve">(100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</si>
  <si>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검토</t>
    </r>
    <r>
      <rPr>
        <b val="true"/>
        <sz val="10"/>
        <rFont val="맑은 고딕"/>
        <family val="0"/>
        <charset val="1"/>
      </rPr>
      <t xml:space="preserve">(AI</t>
    </r>
    <r>
      <rPr>
        <b val="true"/>
        <sz val="10"/>
        <rFont val="WenQuanYi Zen Hei"/>
        <family val="2"/>
      </rPr>
      <t xml:space="preserve">초안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</si>
  <si>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가 먼저 판정한 초안을 사람이 검토해 수용하거나 고친다</t>
    </r>
    <r>
      <rPr>
        <sz val="10"/>
        <rFont val="맑은 고딕"/>
        <family val="0"/>
        <charset val="1"/>
      </rPr>
      <t xml:space="preserve">. AI </t>
    </r>
    <r>
      <rPr>
        <sz val="10"/>
        <rFont val="WenQuanYi Zen Hei"/>
        <family val="2"/>
      </rPr>
      <t xml:space="preserve">적용안의 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사람이 고친 비율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재는 데 쓴다</t>
    </r>
    <r>
      <rPr>
        <sz val="10"/>
        <rFont val="맑은 고딕"/>
        <family val="0"/>
        <charset val="1"/>
      </rPr>
      <t xml:space="preserve">(200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모델 성능 평가에는 쓰지 않는다</t>
    </r>
    <r>
      <rPr>
        <sz val="10"/>
        <rFont val="맑은 고딕"/>
        <family val="0"/>
        <charset val="1"/>
      </rPr>
      <t xml:space="preserve">.</t>
    </r>
  </si>
  <si>
    <t xml:space="preserve">연습문항</t>
  </si>
  <si>
    <r>
      <rPr>
        <sz val="10"/>
        <rFont val="WenQuanYi Zen Hei"/>
        <family val="2"/>
      </rPr>
      <t xml:space="preserve">판정 훈련용 예문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권장 답안은 별도 파일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연습문항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권장답안</t>
    </r>
    <r>
      <rPr>
        <sz val="10"/>
        <rFont val="맑은 고딕"/>
        <family val="0"/>
        <charset val="1"/>
      </rPr>
      <t xml:space="preserve">_2026-10-05.md'</t>
    </r>
    <r>
      <rPr>
        <sz val="10"/>
        <rFont val="WenQuanYi Zen Hei"/>
        <family val="2"/>
      </rPr>
      <t xml:space="preserve">에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예문은 학습자 주장 글의 흔한 구성을 본떠 새로 만든 것이며 실제 학습자 글이 아니다</t>
    </r>
    <r>
      <rPr>
        <sz val="10"/>
        <rFont val="맑은 고딕"/>
        <family val="0"/>
        <charset val="1"/>
      </rPr>
      <t xml:space="preserve">.</t>
    </r>
  </si>
  <si>
    <t xml:space="preserve">집계</t>
  </si>
  <si>
    <r>
      <rPr>
        <sz val="10"/>
        <rFont val="WenQuanYi Zen Hei"/>
        <family val="2"/>
      </rPr>
      <t xml:space="preserve">독립판정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검토 탭의 수를 자동으로 센다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고치지 않는다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</si>
  <si>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칸 색 약속</t>
    </r>
  </si>
  <si>
    <t xml:space="preserve">회색 칸</t>
  </si>
  <si>
    <r>
      <rPr>
        <sz val="10"/>
        <rFont val="WenQuanYi Zen Hei"/>
        <family val="2"/>
      </rPr>
      <t xml:space="preserve">판정 전에 준비하는 사람이 채운다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ID, </t>
    </r>
    <r>
      <rPr>
        <sz val="10"/>
        <rFont val="WenQuanYi Zen Hei"/>
        <family val="2"/>
      </rPr>
      <t xml:space="preserve">원문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앞 문맥</t>
    </r>
    <r>
      <rPr>
        <sz val="10"/>
        <rFont val="맑은 고딕"/>
        <family val="0"/>
        <charset val="1"/>
      </rPr>
      <t xml:space="preserve">, AI </t>
    </r>
    <r>
      <rPr>
        <sz val="10"/>
        <rFont val="WenQuanYi Zen Hei"/>
        <family val="2"/>
      </rPr>
      <t xml:space="preserve">초안 등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판정자는 고치지 않는다</t>
    </r>
    <r>
      <rPr>
        <sz val="10"/>
        <rFont val="맑은 고딕"/>
        <family val="0"/>
        <charset val="1"/>
      </rPr>
      <t xml:space="preserve">.</t>
    </r>
  </si>
  <si>
    <t xml:space="preserve">노란 칸</t>
  </si>
  <si>
    <r>
      <rPr>
        <sz val="10"/>
        <rFont val="WenQuanYi Zen Hei"/>
        <family val="2"/>
      </rPr>
      <t xml:space="preserve">판정자가 채운다</t>
    </r>
    <r>
      <rPr>
        <sz val="10"/>
        <rFont val="맑은 고딕"/>
        <family val="0"/>
        <charset val="1"/>
      </rPr>
      <t xml:space="preserve">.</t>
    </r>
  </si>
  <si>
    <t xml:space="preserve">초록 칸</t>
  </si>
  <si>
    <r>
      <rPr>
        <sz val="10"/>
        <rFont val="WenQuanYi Zen Hei"/>
        <family val="2"/>
      </rPr>
      <t xml:space="preserve">자동 계산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고치지 않는다</t>
    </r>
    <r>
      <rPr>
        <sz val="10"/>
        <rFont val="맑은 고딕"/>
        <family val="0"/>
        <charset val="1"/>
      </rPr>
      <t xml:space="preserve">.</t>
    </r>
  </si>
  <si>
    <t xml:space="preserve">파란 기울임 행</t>
  </si>
  <si>
    <r>
      <rPr>
        <sz val="10"/>
        <rFont val="WenQuanYi Zen Hei"/>
        <family val="2"/>
      </rPr>
      <t xml:space="preserve">작성 예시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실제 자료를 넣기 전에 지워도 되고 남겨도 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집계에 들어가지 않는다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</si>
  <si>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적는 방법</t>
    </r>
  </si>
  <si>
    <t xml:space="preserve">한 행</t>
  </si>
  <si>
    <r>
      <rPr>
        <sz val="10"/>
        <rFont val="WenQuanYi Zen Hei"/>
        <family val="2"/>
      </rPr>
      <t xml:space="preserve">분석 단위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하나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 문장에 단위가 여럿이면 행을 여럿 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ID·</t>
    </r>
    <r>
      <rPr>
        <sz val="10"/>
        <rFont val="WenQuanYi Zen Hei"/>
        <family val="2"/>
      </rPr>
      <t xml:space="preserve">원문 같은 회색 칸은 행마다 똑같이 둔다</t>
    </r>
    <r>
      <rPr>
        <sz val="10"/>
        <rFont val="맑은 고딕"/>
        <family val="0"/>
        <charset val="1"/>
      </rPr>
      <t xml:space="preserve">.</t>
    </r>
  </si>
  <si>
    <t xml:space="preserve">단위 번호</t>
  </si>
  <si>
    <r>
      <rPr>
        <sz val="10"/>
        <rFont val="WenQuanYi Zen Hei"/>
        <family val="2"/>
      </rPr>
      <t xml:space="preserve">단위가 시작하는 위치 순서로 </t>
    </r>
    <r>
      <rPr>
        <sz val="10"/>
        <rFont val="맑은 고딕"/>
        <family val="0"/>
        <charset val="1"/>
      </rPr>
      <t xml:space="preserve">U1, U2 … </t>
    </r>
    <r>
      <rPr>
        <sz val="10"/>
        <rFont val="WenQuanYi Zen Hei"/>
        <family val="2"/>
      </rPr>
      <t xml:space="preserve">를 붙인다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보고절처럼 내용절을 감싸 끊긴 단위는 단위 원문에 </t>
    </r>
    <r>
      <rPr>
        <sz val="10"/>
        <rFont val="맑은 고딕"/>
        <family val="0"/>
        <charset val="1"/>
      </rPr>
      <t xml:space="preserve">'…'</t>
    </r>
    <r>
      <rPr>
        <sz val="10"/>
        <rFont val="WenQuanYi Zen Hei"/>
        <family val="2"/>
      </rPr>
      <t xml:space="preserve">를 넣는다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저는 … 생각합니다</t>
    </r>
    <r>
      <rPr>
        <sz val="10"/>
        <rFont val="맑은 고딕"/>
        <family val="0"/>
        <charset val="1"/>
      </rPr>
      <t xml:space="preserve">).</t>
    </r>
  </si>
  <si>
    <t xml:space="preserve">절이 없는 문장</t>
  </si>
  <si>
    <r>
      <rPr>
        <sz val="10"/>
        <rFont val="WenQuanYi Zen Hei"/>
        <family val="2"/>
      </rPr>
      <t xml:space="preserve">문장 전체가 절로 세지 않는 단편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나열이면</t>
    </r>
    <r>
      <rPr>
        <sz val="10"/>
        <rFont val="맑은 고딕"/>
        <family val="0"/>
        <charset val="1"/>
      </rPr>
      <t xml:space="preserve">(C5) </t>
    </r>
    <r>
      <rPr>
        <sz val="10"/>
        <rFont val="WenQuanYi Zen Hei"/>
        <family val="2"/>
      </rPr>
      <t xml:space="preserve">한 행만 쓰고 단위 </t>
    </r>
    <r>
      <rPr>
        <sz val="10"/>
        <rFont val="맑은 고딕"/>
        <family val="0"/>
        <charset val="1"/>
      </rPr>
      <t xml:space="preserve">'-', </t>
    </r>
    <r>
      <rPr>
        <sz val="10"/>
        <rFont val="WenQuanYi Zen Hei"/>
        <family val="2"/>
      </rPr>
      <t xml:space="preserve">적용 규칙 </t>
    </r>
    <r>
      <rPr>
        <sz val="10"/>
        <rFont val="맑은 고딕"/>
        <family val="0"/>
        <charset val="1"/>
      </rPr>
      <t xml:space="preserve">'C5', </t>
    </r>
    <r>
      <rPr>
        <sz val="10"/>
        <rFont val="WenQuanYi Zen Hei"/>
        <family val="2"/>
      </rPr>
      <t xml:space="preserve">주제부 값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절 아님</t>
    </r>
    <r>
      <rPr>
        <sz val="10"/>
        <rFont val="맑은 고딕"/>
        <family val="0"/>
        <charset val="1"/>
      </rPr>
      <t xml:space="preserve">'.</t>
    </r>
  </si>
  <si>
    <t xml:space="preserve">주제부 원문</t>
  </si>
  <si>
    <r>
      <rPr>
        <sz val="10"/>
        <rFont val="WenQuanYi Zen Hei"/>
        <family val="2"/>
      </rPr>
      <t xml:space="preserve">대상 문장에서 그대로 복사한다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맞춤법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띄어쓰기를 고치지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붙여 쓴 어절 안에서 끝나면 어절 중간에서 끊는다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나는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스포츠가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나는</t>
    </r>
    <r>
      <rPr>
        <sz val="10"/>
        <rFont val="맑은 고딕"/>
        <family val="0"/>
        <charset val="1"/>
      </rPr>
      <t xml:space="preserve">').</t>
    </r>
  </si>
  <si>
    <t xml:space="preserve">주제부 값</t>
  </si>
  <si>
    <r>
      <rPr>
        <sz val="10"/>
        <rFont val="WenQuanYi Zen Hei"/>
        <family val="2"/>
      </rPr>
      <t xml:space="preserve">범위</t>
    </r>
    <r>
      <rPr>
        <sz val="10"/>
        <rFont val="맑은 고딕"/>
        <family val="0"/>
        <charset val="1"/>
      </rPr>
      <t xml:space="preserve">: T2·T3·T4</t>
    </r>
    <r>
      <rPr>
        <sz val="10"/>
        <rFont val="WenQuanYi Zen Hei"/>
        <family val="2"/>
      </rPr>
      <t xml:space="preserve">로 주제부가 있을 때</t>
    </r>
    <r>
      <rPr>
        <sz val="10"/>
        <rFont val="맑은 고딕"/>
        <family val="0"/>
        <charset val="1"/>
      </rPr>
      <t xml:space="preserve">. / </t>
    </r>
    <r>
      <rPr>
        <sz val="10"/>
        <rFont val="WenQuanYi Zen Hei"/>
        <family val="2"/>
      </rPr>
      <t xml:space="preserve">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논평만</t>
    </r>
    <r>
      <rPr>
        <sz val="10"/>
        <rFont val="맑은 고딕"/>
        <family val="0"/>
        <charset val="1"/>
      </rPr>
      <t xml:space="preserve">: T1·T5</t>
    </r>
    <r>
      <rPr>
        <sz val="10"/>
        <rFont val="WenQuanYi Zen Hei"/>
        <family val="2"/>
      </rPr>
      <t xml:space="preserve">인데 절 첫머리에 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 표현이 있을 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 표현만 주제부 원문에 적는다</t>
    </r>
    <r>
      <rPr>
        <sz val="10"/>
        <rFont val="맑은 고딕"/>
        <family val="0"/>
        <charset val="1"/>
      </rPr>
      <t xml:space="preserve">). / </t>
    </r>
    <r>
      <rPr>
        <sz val="10"/>
        <rFont val="WenQuanYi Zen Hei"/>
        <family val="2"/>
      </rPr>
      <t xml:space="preserve">명시 없음</t>
    </r>
    <r>
      <rPr>
        <sz val="10"/>
        <rFont val="맑은 고딕"/>
        <family val="0"/>
        <charset val="1"/>
      </rPr>
      <t xml:space="preserve">: T1·T5</t>
    </r>
    <r>
      <rPr>
        <sz val="10"/>
        <rFont val="WenQuanYi Zen Hei"/>
        <family val="2"/>
      </rPr>
      <t xml:space="preserve">이고 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 표현도 없을 때</t>
    </r>
    <r>
      <rPr>
        <sz val="10"/>
        <rFont val="맑은 고딕"/>
        <family val="0"/>
        <charset val="1"/>
      </rPr>
      <t xml:space="preserve">. / </t>
    </r>
    <r>
      <rPr>
        <sz val="10"/>
        <rFont val="WenQuanYi Zen Hei"/>
        <family val="2"/>
      </rPr>
      <t xml:space="preserve">유보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구조가 불명확해 단위나 주어를 정할 수 없을 때</t>
    </r>
    <r>
      <rPr>
        <sz val="10"/>
        <rFont val="맑은 고딕"/>
        <family val="0"/>
        <charset val="1"/>
      </rPr>
      <t xml:space="preserve">. / </t>
    </r>
    <r>
      <rPr>
        <sz val="10"/>
        <rFont val="WenQuanYi Zen Hei"/>
        <family val="2"/>
      </rPr>
      <t xml:space="preserve">절 아님</t>
    </r>
    <r>
      <rPr>
        <sz val="10"/>
        <rFont val="맑은 고딕"/>
        <family val="0"/>
        <charset val="1"/>
      </rPr>
      <t xml:space="preserve">: C5.</t>
    </r>
  </si>
  <si>
    <t xml:space="preserve">유보</t>
  </si>
  <si>
    <r>
      <rPr>
        <sz val="10"/>
        <rFont val="WenQuanYi Zen Hei"/>
        <family val="2"/>
      </rPr>
      <t xml:space="preserve">정하기 어렵다는 이유로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명시 없음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고르지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유보와 명시 없음은 다른 값이다</t>
    </r>
    <r>
      <rPr>
        <sz val="10"/>
        <rFont val="맑은 고딕"/>
        <family val="0"/>
        <charset val="1"/>
      </rPr>
      <t xml:space="preserve">.</t>
    </r>
  </si>
  <si>
    <t xml:space="preserve">근거</t>
  </si>
  <si>
    <r>
      <rPr>
        <sz val="10"/>
        <rFont val="WenQuanYi Zen Hei"/>
        <family val="2"/>
      </rPr>
      <t xml:space="preserve">규칙 번호와 결정적 단서를 한 줄로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'T5: </t>
    </r>
    <r>
      <rPr>
        <sz val="10"/>
        <rFont val="WenQuanYi Zen Hei"/>
        <family val="2"/>
      </rPr>
      <t xml:space="preserve">앞 문장의 정부가 이어지는 행위자</t>
    </r>
    <r>
      <rPr>
        <sz val="10"/>
        <rFont val="맑은 고딕"/>
        <family val="0"/>
        <charset val="1"/>
      </rPr>
      <t xml:space="preserve">, A1②').</t>
    </r>
  </si>
  <si>
    <t xml:space="preserve">확신도</t>
  </si>
  <si>
    <r>
      <rPr>
        <sz val="10"/>
        <rFont val="WenQuanYi Zen Hei"/>
        <family val="2"/>
      </rPr>
      <t xml:space="preserve">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나중에 판단이 갈리는 유형을 모으는 데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</si>
  <si>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독립판정의 맹검 조건</t>
    </r>
  </si>
  <si>
    <t xml:space="preserve">보지 않는 것</t>
  </si>
  <si>
    <r>
      <rPr>
        <sz val="10"/>
        <rFont val="WenQuanYi Zen Hei"/>
        <family val="2"/>
      </rPr>
      <t xml:space="preserve">판정 대상 문장에 대한 모델 예측</t>
    </r>
    <r>
      <rPr>
        <sz val="10"/>
        <rFont val="맑은 고딕"/>
        <family val="0"/>
        <charset val="1"/>
      </rPr>
      <t xml:space="preserve">, A·W</t>
    </r>
    <r>
      <rPr>
        <sz val="10"/>
        <rFont val="WenQuanYi Zen Hei"/>
        <family val="2"/>
      </rPr>
      <t xml:space="preserve">의 판정</t>
    </r>
    <r>
      <rPr>
        <sz val="10"/>
        <rFont val="맑은 고딕"/>
        <family val="0"/>
        <charset val="1"/>
      </rPr>
      <t xml:space="preserve">, AI </t>
    </r>
    <r>
      <rPr>
        <sz val="10"/>
        <rFont val="WenQuanYi Zen Hei"/>
        <family val="2"/>
      </rPr>
      <t xml:space="preserve">초안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판정이 끝나기 전에는 검토</t>
    </r>
    <r>
      <rPr>
        <sz val="10"/>
        <rFont val="맑은 고딕"/>
        <family val="0"/>
        <charset val="1"/>
      </rPr>
      <t xml:space="preserve">(AI</t>
    </r>
    <r>
      <rPr>
        <sz val="10"/>
        <rFont val="WenQuanYi Zen Hei"/>
        <family val="2"/>
      </rPr>
      <t xml:space="preserve">초안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탭 작업도 하지 않는다</t>
    </r>
    <r>
      <rPr>
        <sz val="10"/>
        <rFont val="맑은 고딕"/>
        <family val="0"/>
        <charset val="1"/>
      </rPr>
      <t xml:space="preserve">.</t>
    </r>
  </si>
  <si>
    <t xml:space="preserve">판정 중 의문</t>
  </si>
  <si>
    <r>
      <rPr>
        <sz val="10"/>
        <rFont val="WenQuanYi Zen Hei"/>
        <family val="2"/>
      </rPr>
      <t xml:space="preserve">규칙표 해석이 막히면 메모 칸에 적고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자리에서 규칙을 바꾸지 않은 채 끝까지 판정한다</t>
    </r>
    <r>
      <rPr>
        <sz val="10"/>
        <rFont val="맑은 고딕"/>
        <family val="0"/>
        <charset val="1"/>
      </rPr>
      <t xml:space="preserve">.</t>
    </r>
  </si>
  <si>
    <t xml:space="preserve">판정이 끝나면</t>
  </si>
  <si>
    <r>
      <rPr>
        <sz val="10"/>
        <rFont val="WenQuanYi Zen Hei"/>
        <family val="2"/>
      </rPr>
      <t xml:space="preserve">파일을 저장하고 </t>
    </r>
    <r>
      <rPr>
        <sz val="10"/>
        <rFont val="맑은 고딕"/>
        <family val="0"/>
        <charset val="1"/>
      </rPr>
      <t xml:space="preserve">SHA-256 </t>
    </r>
    <r>
      <rPr>
        <sz val="10"/>
        <rFont val="WenQuanYi Zen Hei"/>
        <family val="2"/>
      </rPr>
      <t xml:space="preserve">지문과 날짜를 기록한다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뒤에 모델 예측을 꺼내 채점한다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지문을 고정한 뒤에는 판정을 고치지 않는다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</si>
  <si>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권장 순서</t>
    </r>
  </si>
  <si>
    <t xml:space="preserve">①</t>
  </si>
  <si>
    <r>
      <rPr>
        <sz val="10"/>
        <rFont val="WenQuanYi Zen Hei"/>
        <family val="2"/>
      </rPr>
      <t xml:space="preserve">규칙표를 읽고 연습문항을 직접 판정한 뒤 권장 답안과 견준다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판정 훈련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논문에는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판정자는 규칙표와 연습 예문으로 훈련했다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 적는다</t>
    </r>
    <r>
      <rPr>
        <sz val="10"/>
        <rFont val="맑은 고딕"/>
        <family val="0"/>
        <charset val="1"/>
      </rPr>
      <t xml:space="preserve">.</t>
    </r>
  </si>
  <si>
    <t xml:space="preserve">②</t>
  </si>
  <si>
    <r>
      <rPr>
        <sz val="10"/>
        <rFont val="WenQuanYi Zen Hei"/>
        <family val="2"/>
      </rPr>
      <t xml:space="preserve">독립판정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문장 → 지문 고정</t>
    </r>
    <r>
      <rPr>
        <sz val="10"/>
        <rFont val="맑은 고딕"/>
        <family val="0"/>
        <charset val="1"/>
      </rPr>
      <t xml:space="preserve">.</t>
    </r>
  </si>
  <si>
    <t xml:space="preserve">③</t>
  </si>
  <si>
    <r>
      <rPr>
        <sz val="10"/>
        <rFont val="WenQuanYi Zen Hei"/>
        <family val="2"/>
      </rPr>
      <t xml:space="preserve">검토</t>
    </r>
    <r>
      <rPr>
        <sz val="10"/>
        <rFont val="맑은 고딕"/>
        <family val="0"/>
        <charset val="1"/>
      </rPr>
      <t xml:space="preserve">(AI</t>
    </r>
    <r>
      <rPr>
        <sz val="10"/>
        <rFont val="WenQuanYi Zen Hei"/>
        <family val="2"/>
      </rPr>
      <t xml:space="preserve">초안</t>
    </r>
    <r>
      <rPr>
        <sz val="10"/>
        <rFont val="맑은 고딕"/>
        <family val="0"/>
        <charset val="1"/>
      </rPr>
      <t xml:space="preserve">) 200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.</t>
    </r>
  </si>
  <si>
    <t xml:space="preserve">④</t>
  </si>
  <si>
    <r>
      <rPr>
        <sz val="10"/>
        <rFont val="WenQuanYi Zen Hei"/>
        <family val="2"/>
      </rPr>
      <t xml:space="preserve">채점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독립판정 대 모델 예측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원하면 </t>
    </r>
    <r>
      <rPr>
        <sz val="10"/>
        <rFont val="맑은 고딕"/>
        <family val="0"/>
        <charset val="1"/>
      </rPr>
      <t xml:space="preserve">A</t>
    </r>
    <r>
      <rPr>
        <sz val="10"/>
        <rFont val="WenQuanYi Zen Hei"/>
        <family val="2"/>
      </rPr>
      <t xml:space="preserve">의 맹검 판정 대 독립판정도</t>
    </r>
    <r>
      <rPr>
        <sz val="10"/>
        <rFont val="맑은 고딕"/>
        <family val="0"/>
        <charset val="1"/>
      </rPr>
      <t xml:space="preserve">).</t>
    </r>
  </si>
  <si>
    <t xml:space="preserve">⑤</t>
  </si>
  <si>
    <r>
      <rPr>
        <sz val="10"/>
        <rFont val="맑은 고딕"/>
        <family val="0"/>
        <charset val="1"/>
      </rPr>
      <t xml:space="preserve">A</t>
    </r>
    <r>
      <rPr>
        <sz val="10"/>
        <rFont val="WenQuanYi Zen Hei"/>
        <family val="2"/>
      </rPr>
      <t xml:space="preserve">의 확인 표본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판정 파일과 권장 답안을 보며 사람 판정과 다른 곳을 정리한다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</si>
  <si>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표본을 열기 전에 기록할 것</t>
    </r>
  </si>
  <si>
    <t xml:space="preserve">문장 추출</t>
  </si>
  <si>
    <r>
      <rPr>
        <sz val="10"/>
        <rFont val="WenQuanYi Zen Hei"/>
        <family val="2"/>
      </rPr>
      <t xml:space="preserve">어느 글에서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확인 표본 </t>
    </r>
    <r>
      <rPr>
        <sz val="10"/>
        <rFont val="맑은 고딕"/>
        <family val="0"/>
        <charset val="1"/>
      </rPr>
      <t xml:space="preserve">2·3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몇 문장을 어떤 방법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난수 씨앗으로 뽑는지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모델 예측을 보지 않고 뽑는다</t>
    </r>
    <r>
      <rPr>
        <sz val="10"/>
        <rFont val="맑은 고딕"/>
        <family val="0"/>
        <charset val="1"/>
      </rPr>
      <t xml:space="preserve">.</t>
    </r>
  </si>
  <si>
    <t xml:space="preserve">판정자</t>
  </si>
  <si>
    <r>
      <rPr>
        <sz val="10"/>
        <rFont val="WenQuanYi Zen Hei"/>
        <family val="2"/>
      </rPr>
      <t xml:space="preserve">누가 판정하는지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훈련 내용</t>
    </r>
    <r>
      <rPr>
        <sz val="10"/>
        <rFont val="맑은 고딕"/>
        <family val="0"/>
        <charset val="1"/>
      </rPr>
      <t xml:space="preserve">(①), </t>
    </r>
    <r>
      <rPr>
        <sz val="10"/>
        <rFont val="WenQuanYi Zen Hei"/>
        <family val="2"/>
      </rPr>
      <t xml:space="preserve">두 번째 판정자가 일부를 판정하는지</t>
    </r>
    <r>
      <rPr>
        <sz val="10"/>
        <rFont val="맑은 고딕"/>
        <family val="0"/>
        <charset val="1"/>
      </rPr>
      <t xml:space="preserve">.</t>
    </r>
  </si>
  <si>
    <t xml:space="preserve">지표</t>
  </si>
  <si>
    <r>
      <rPr>
        <sz val="10"/>
        <rFont val="WenQuanYi Zen Hei"/>
        <family val="2"/>
      </rPr>
      <t xml:space="preserve">범위 정확 일치 </t>
    </r>
    <r>
      <rPr>
        <sz val="10"/>
        <rFont val="맑은 고딕"/>
        <family val="0"/>
        <charset val="1"/>
      </rPr>
      <t xml:space="preserve">F1, </t>
    </r>
    <r>
      <rPr>
        <sz val="10"/>
        <rFont val="WenQuanYi Zen Hei"/>
        <family val="2"/>
      </rPr>
      <t xml:space="preserve">정밀도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재현율</t>
    </r>
    <r>
      <rPr>
        <sz val="10"/>
        <rFont val="맑은 고딕"/>
        <family val="0"/>
        <charset val="1"/>
      </rPr>
      <t xml:space="preserve">, '</t>
    </r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판정 정확도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유보 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기존 채점과 같은 정의</t>
    </r>
    <r>
      <rPr>
        <sz val="10"/>
        <rFont val="맑은 고딕"/>
        <family val="0"/>
        <charset val="1"/>
      </rPr>
      <t xml:space="preserve">.</t>
    </r>
  </si>
  <si>
    <t xml:space="preserve">보고 원칙</t>
  </si>
  <si>
    <r>
      <rPr>
        <sz val="10"/>
        <rFont val="WenQuanYi Zen Hei"/>
        <family val="2"/>
      </rPr>
      <t xml:space="preserve">결과가 기준에 못 미쳐도 보고한다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기준값을 둔다면 열기 전에 적는다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</si>
  <si>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규칙표 </t>
    </r>
    <r>
      <rPr>
        <b val="true"/>
        <sz val="13"/>
        <rFont val="맑은 고딕"/>
        <family val="0"/>
        <charset val="1"/>
      </rPr>
      <t xml:space="preserve">CT2S-1.0 </t>
    </r>
    <r>
      <rPr>
        <b val="true"/>
        <sz val="13"/>
        <rFont val="WenQuanYi Zen Hei"/>
        <family val="2"/>
      </rPr>
      <t xml:space="preserve">요약 </t>
    </r>
    <r>
      <rPr>
        <b val="true"/>
        <sz val="13"/>
        <rFont val="맑은 고딕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적용 보충 </t>
    </r>
    <r>
      <rPr>
        <b val="true"/>
        <sz val="13"/>
        <rFont val="맑은 고딕"/>
        <family val="0"/>
        <charset val="1"/>
      </rPr>
      <t xml:space="preserve">A1 </t>
    </r>
    <r>
      <rPr>
        <b val="true"/>
        <sz val="13"/>
        <rFont val="WenQuanYi Zen Hei"/>
        <family val="2"/>
      </rPr>
      <t xml:space="preserve">요약</t>
    </r>
  </si>
  <si>
    <r>
      <rPr>
        <sz val="9"/>
        <color rgb="FF666666"/>
        <rFont val="WenQuanYi Zen Hei"/>
        <family val="2"/>
      </rPr>
      <t xml:space="preserve">요약본이다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판정이 갈리면 규칙표 전문과 </t>
    </r>
    <r>
      <rPr>
        <sz val="9"/>
        <color rgb="FF666666"/>
        <rFont val="맑은 고딕"/>
        <family val="0"/>
        <charset val="1"/>
      </rPr>
      <t xml:space="preserve">A1 </t>
    </r>
    <r>
      <rPr>
        <sz val="9"/>
        <color rgb="FF666666"/>
        <rFont val="WenQuanYi Zen Hei"/>
        <family val="2"/>
      </rPr>
      <t xml:space="preserve">문서를 따른다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</si>
  <si>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절 규칙 — 무엇을 분석 절 하나로 세는가</t>
  </si>
  <si>
    <t xml:space="preserve">번호</t>
  </si>
  <si>
    <t xml:space="preserve">규칙</t>
  </si>
  <si>
    <t xml:space="preserve">예</t>
  </si>
  <si>
    <t xml:space="preserve">C1</t>
  </si>
  <si>
    <r>
      <rPr>
        <sz val="10"/>
        <rFont val="WenQuanYi Zen Hei"/>
        <family val="2"/>
      </rPr>
      <t xml:space="preserve">비내포 술어군 하나를 절 하나로 센다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본용언의 보조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양태 표현은 묶는다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</si>
  <si>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줄여야 한다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할 수 있다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생각하지 않는다 → 술어군 하나</t>
    </r>
  </si>
  <si>
    <t xml:space="preserve">C2</t>
  </si>
  <si>
    <r>
      <rPr>
        <sz val="10"/>
        <rFont val="WenQuanYi Zen Hei"/>
        <family val="2"/>
      </rPr>
      <t xml:space="preserve">연결절과 투사 내용절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보고절은 각각 센다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시간 연결도 포함한다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</si>
  <si>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고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지만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면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려면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기 위해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아서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저는 </t>
    </r>
    <r>
      <rPr>
        <sz val="10"/>
        <rFont val="맑은 고딕"/>
        <family val="0"/>
        <charset val="1"/>
      </rPr>
      <t xml:space="preserve">[ … </t>
    </r>
    <r>
      <rPr>
        <sz val="10"/>
        <rFont val="WenQuanYi Zen Hei"/>
        <family val="2"/>
      </rPr>
      <t xml:space="preserve">다고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생각합니다 → 둘</t>
    </r>
  </si>
  <si>
    <t xml:space="preserve">C3</t>
  </si>
  <si>
    <r>
      <rPr>
        <sz val="10"/>
        <rFont val="WenQuanYi Zen Hei"/>
        <family val="2"/>
      </rPr>
      <t xml:space="preserve">명사구 안의 관형절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명사절은 주분석 절 수에 더하지 않는다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</si>
  <si>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[SNS</t>
    </r>
    <r>
      <rPr>
        <sz val="10"/>
        <rFont val="WenQuanYi Zen Hei"/>
        <family val="2"/>
      </rPr>
      <t xml:space="preserve">를 오래 사용하는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학생들은 → 절 수에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범위 안에는 들어감</t>
    </r>
    <r>
      <rPr>
        <sz val="10"/>
        <rFont val="맑은 고딕"/>
        <family val="0"/>
        <charset val="1"/>
      </rPr>
      <t xml:space="preserve">)</t>
    </r>
  </si>
  <si>
    <t xml:space="preserve">C4</t>
  </si>
  <si>
    <r>
      <rPr>
        <sz val="10"/>
        <rFont val="WenQuanYi Zen Hei"/>
        <family val="2"/>
      </rPr>
      <t xml:space="preserve">명사성 틀은 바깥 절 하나를 센다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</si>
  <si>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기 때문이다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는 것이다</t>
    </r>
    <r>
      <rPr>
        <sz val="10"/>
        <rFont val="맑은 고딕"/>
        <family val="0"/>
        <charset val="1"/>
      </rPr>
      <t xml:space="preserve">, -</t>
    </r>
    <r>
      <rPr>
        <sz val="10"/>
        <rFont val="WenQuanYi Zen Hei"/>
        <family val="2"/>
      </rPr>
      <t xml:space="preserve">ㄹ 예정이다</t>
    </r>
  </si>
  <si>
    <t xml:space="preserve">C5</t>
  </si>
  <si>
    <r>
      <rPr>
        <sz val="10"/>
        <rFont val="WenQuanYi Zen Hei"/>
        <family val="2"/>
      </rPr>
      <t xml:space="preserve">서술 관계를 복원할 근거가 없는 단편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명사 나열과 관용적 담화 표현은 절로 세지 않는다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</si>
  <si>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예를 들면 </t>
    </r>
    <r>
      <rPr>
        <sz val="10"/>
        <rFont val="맑은 고딕"/>
        <family val="0"/>
        <charset val="1"/>
      </rPr>
      <t xml:space="preserve">A, B, C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. / </t>
    </r>
    <r>
      <rPr>
        <sz val="10"/>
        <rFont val="WenQuanYi Zen Hei"/>
        <family val="2"/>
      </rPr>
      <t xml:space="preserve">다시 말해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말하자면</t>
    </r>
  </si>
  <si>
    <t xml:space="preserve">C6</t>
  </si>
  <si>
    <r>
      <rPr>
        <sz val="10"/>
        <rFont val="WenQuanYi Zen Hei"/>
        <family val="2"/>
      </rPr>
      <t xml:space="preserve">의문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감탄도 같은 기준으로 센다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</si>
  <si>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주제부 규칙 — 위에서부터 차례로 적용하고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처음 맞는 규칙에서 멈춘다</t>
    </r>
  </si>
  <si>
    <t xml:space="preserve">조건</t>
  </si>
  <si>
    <t xml:space="preserve">주제부</t>
  </si>
  <si>
    <t xml:space="preserve">T1</t>
  </si>
  <si>
    <r>
      <rPr>
        <sz val="10"/>
        <rFont val="WenQuanYi Zen Hei"/>
        <family val="2"/>
      </rPr>
      <t xml:space="preserve">명사성 틀이고 틀 밖의 주어가 없다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</si>
  <si>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문두 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 표현이 있으면 그것만 기록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</si>
  <si>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명시 없음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논평만</t>
    </r>
  </si>
  <si>
    <t xml:space="preserve">T2</t>
  </si>
  <si>
    <r>
      <rPr>
        <sz val="10"/>
        <rFont val="WenQuanYi Zen Hei"/>
        <family val="2"/>
      </rPr>
      <t xml:space="preserve">같은 분석 절에 명시 주어가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</si>
  <si>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절의 시작부터 주어 성분 전체의 끝까지</t>
    </r>
    <r>
      <rPr>
        <sz val="10"/>
        <rFont val="맑은 고딕"/>
        <family val="0"/>
        <charset val="1"/>
      </rPr>
      <t xml:space="preserve">.</t>
    </r>
  </si>
  <si>
    <t xml:space="preserve">범위</t>
  </si>
  <si>
    <t xml:space="preserve">T3</t>
  </si>
  <si>
    <r>
      <rPr>
        <sz val="10"/>
        <rFont val="WenQuanYi Zen Hei"/>
        <family val="2"/>
      </rPr>
      <t xml:space="preserve">주어가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첫 경험 성분에 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는이 붙거나 그 성분이 정보를 묻는 의문 성분이다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</si>
  <si>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절의 시작부터 그 성분까지</t>
    </r>
    <r>
      <rPr>
        <sz val="10"/>
        <rFont val="맑은 고딕"/>
        <family val="0"/>
        <charset val="1"/>
      </rPr>
      <t xml:space="preserve">.</t>
    </r>
  </si>
  <si>
    <t xml:space="preserve">T4</t>
  </si>
  <si>
    <r>
      <rPr>
        <sz val="10"/>
        <rFont val="WenQuanYi Zen Hei"/>
        <family val="2"/>
      </rPr>
      <t xml:space="preserve">주어가 없고 일반 절차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당위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불특정 전언이다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독립 명령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청유 포함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</si>
  <si>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절의 시작부터 첫 경험 성분까지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술어군만 있으면 술어군까지</t>
    </r>
    <r>
      <rPr>
        <sz val="10"/>
        <rFont val="맑은 고딕"/>
        <family val="0"/>
        <charset val="1"/>
      </rPr>
      <t xml:space="preserve">.</t>
    </r>
  </si>
  <si>
    <t xml:space="preserve">T5</t>
  </si>
  <si>
    <r>
      <rPr>
        <sz val="10"/>
        <rFont val="WenQuanYi Zen Hei"/>
        <family val="2"/>
      </rPr>
      <t xml:space="preserve">그 밖의 주어 없는 절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</si>
  <si>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 표현이 있으면 그것만 기록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</si>
  <si>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적용 보충 </t>
    </r>
    <r>
      <rPr>
        <b val="true"/>
        <sz val="10"/>
        <rFont val="맑은 고딕"/>
        <family val="0"/>
        <charset val="1"/>
      </rPr>
      <t xml:space="preserve">A1 — </t>
    </r>
    <r>
      <rPr>
        <b val="true"/>
        <sz val="10"/>
        <rFont val="WenQuanYi Zen Hei"/>
        <family val="2"/>
      </rPr>
      <t xml:space="preserve">요지</t>
    </r>
  </si>
  <si>
    <t xml:space="preserve">내용</t>
  </si>
  <si>
    <t xml:space="preserve">T4/T5 ①</t>
  </si>
  <si>
    <r>
      <rPr>
        <sz val="10"/>
        <rFont val="WenQuanYi Zen Hei"/>
        <family val="2"/>
      </rPr>
      <t xml:space="preserve">독립 명령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불특정 전언은 </t>
    </r>
    <r>
      <rPr>
        <sz val="10"/>
        <rFont val="맑은 고딕"/>
        <family val="0"/>
        <charset val="1"/>
      </rPr>
      <t xml:space="preserve">T4.</t>
    </r>
  </si>
  <si>
    <t xml:space="preserve">T4/T5 ②</t>
  </si>
  <si>
    <r>
      <rPr>
        <sz val="10"/>
        <rFont val="WenQuanYi Zen Hei"/>
        <family val="2"/>
      </rPr>
      <t xml:space="preserve">같은 문장이나 앞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문장에서 특정 행위자가 이어지면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 절의 생략된 주어가 그 행위자이면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당위 표지가 있어도 </t>
    </r>
    <r>
      <rPr>
        <sz val="10"/>
        <rFont val="맑은 고딕"/>
        <family val="0"/>
        <charset val="1"/>
      </rPr>
      <t xml:space="preserve">T5.</t>
    </r>
  </si>
  <si>
    <t xml:space="preserve">T4/T5 ③</t>
  </si>
  <si>
    <r>
      <rPr>
        <sz val="10"/>
        <rFont val="WenQuanYi Zen Hei"/>
        <family val="2"/>
      </rPr>
      <t xml:space="preserve">그런 근거가 없고 일반 절차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당위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조언으로 읽히면 </t>
    </r>
    <r>
      <rPr>
        <sz val="10"/>
        <rFont val="맑은 고딕"/>
        <family val="0"/>
        <charset val="1"/>
      </rPr>
      <t xml:space="preserve">T4.</t>
    </r>
  </si>
  <si>
    <t xml:space="preserve">T4/T5 ④</t>
  </si>
  <si>
    <r>
      <rPr>
        <sz val="10"/>
        <rFont val="WenQuanYi Zen Hei"/>
        <family val="2"/>
      </rPr>
      <t xml:space="preserve">그 밖은 </t>
    </r>
    <r>
      <rPr>
        <sz val="10"/>
        <rFont val="맑은 고딕"/>
        <family val="0"/>
        <charset val="1"/>
      </rPr>
      <t xml:space="preserve">T5.</t>
    </r>
  </si>
  <si>
    <t xml:space="preserve">주어 여럿</t>
  </si>
  <si>
    <r>
      <rPr>
        <sz val="10"/>
        <rFont val="WenQuanYi Zen Hei"/>
        <family val="2"/>
      </rPr>
      <t xml:space="preserve">주어 후보가 여럿이면 서술어에 가까운 직접 주어까지를 범위로 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</si>
  <si>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는 장점이 많다 → </t>
    </r>
    <r>
      <rPr>
        <sz val="10"/>
        <rFont val="맑은 고딕"/>
        <family val="0"/>
        <charset val="1"/>
      </rPr>
      <t xml:space="preserve">'SNS</t>
    </r>
    <r>
      <rPr>
        <sz val="10"/>
        <rFont val="WenQuanYi Zen Hei"/>
        <family val="2"/>
      </rPr>
      <t xml:space="preserve">는 장점이</t>
    </r>
    <r>
      <rPr>
        <sz val="10"/>
        <rFont val="맑은 고딕"/>
        <family val="0"/>
        <charset val="1"/>
      </rPr>
      <t xml:space="preserve">'</t>
    </r>
  </si>
  <si>
    <t xml:space="preserve">공유 주어</t>
  </si>
  <si>
    <r>
      <rPr>
        <sz val="10"/>
        <rFont val="WenQuanYi Zen Hei"/>
        <family val="2"/>
      </rPr>
      <t xml:space="preserve">여러 절이 주어를 공유하면 주어는 첫 절에만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뒤 절은 주어 없는 절로 판정</t>
    </r>
    <r>
      <rPr>
        <sz val="10"/>
        <rFont val="맑은 고딕"/>
        <family val="0"/>
        <charset val="1"/>
      </rPr>
      <t xml:space="preserve">.</t>
    </r>
  </si>
  <si>
    <t xml:space="preserve">나는 숙제를 하고 잤다 → 둘째 절은 주어 없음</t>
  </si>
  <si>
    <r>
      <rPr>
        <b val="true"/>
        <sz val="10"/>
        <rFont val="WenQuanYi Zen Hei"/>
        <family val="2"/>
      </rPr>
      <t xml:space="preserve">보고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내용절</t>
    </r>
  </si>
  <si>
    <r>
      <rPr>
        <sz val="10"/>
        <rFont val="WenQuanYi Zen Hei"/>
        <family val="2"/>
      </rPr>
      <t xml:space="preserve">보고절과 내용절을 나눠 따로 판정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</si>
  <si>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사건명사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되다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</si>
  <si>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도입이 되다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류에서는 명사가 주어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</si>
  <si>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실명제 도입이 되면 → 주어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실명제 도입이</t>
    </r>
    <r>
      <rPr>
        <sz val="10"/>
        <rFont val="맑은 고딕"/>
        <family val="0"/>
        <charset val="1"/>
      </rPr>
      <t xml:space="preserve">'</t>
    </r>
  </si>
  <si>
    <r>
      <rPr>
        <b val="true"/>
        <sz val="10"/>
        <rFont val="WenQuanYi Zen Hei"/>
        <family val="2"/>
      </rPr>
      <t xml:space="preserve">성분 구분 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절의 시작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첫 경험 성분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을 가를 때</t>
    </r>
  </si>
  <si>
    <t xml:space="preserve">구분</t>
  </si>
  <si>
    <t xml:space="preserve">무엇</t>
  </si>
  <si>
    <t xml:space="preserve">주제부와의 관계</t>
  </si>
  <si>
    <t xml:space="preserve">연결</t>
  </si>
  <si>
    <r>
      <rPr>
        <sz val="10"/>
        <rFont val="WenQuanYi Zen Hei"/>
        <family val="2"/>
      </rPr>
      <t xml:space="preserve">앞뒤 문장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절을 잇는 표현</t>
    </r>
  </si>
  <si>
    <r>
      <rPr>
        <sz val="10"/>
        <rFont val="WenQuanYi Zen Hei"/>
        <family val="2"/>
      </rPr>
      <t xml:space="preserve">그리고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그래서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그러나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왜냐하면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그러므로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따라서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첫째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다시 말해</t>
    </r>
  </si>
  <si>
    <r>
      <rPr>
        <sz val="10"/>
        <rFont val="WenQuanYi Zen Hei"/>
        <family val="2"/>
      </rPr>
      <t xml:space="preserve">절의 시작에 있으면 범위에 들어간다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경험 성분이 아니다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</si>
  <si>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논평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호격</t>
    </r>
  </si>
  <si>
    <t xml:space="preserve">필자의 태도나 청자 부르기</t>
  </si>
  <si>
    <r>
      <rPr>
        <sz val="10"/>
        <rFont val="WenQuanYi Zen Hei"/>
        <family val="2"/>
      </rPr>
      <t xml:space="preserve">솔직히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물론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과연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 생각에는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여러분</t>
    </r>
  </si>
  <si>
    <r>
      <rPr>
        <sz val="10"/>
        <rFont val="WenQuanYi Zen Hei"/>
        <family val="2"/>
      </rPr>
      <t xml:space="preserve">위와 같다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제 생각에는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처럼 는이 붙어도 </t>
    </r>
    <r>
      <rPr>
        <sz val="10"/>
        <rFont val="맑은 고딕"/>
        <family val="0"/>
        <charset val="1"/>
      </rPr>
      <t xml:space="preserve">T3</t>
    </r>
    <r>
      <rPr>
        <sz val="10"/>
        <rFont val="WenQuanYi Zen Hei"/>
        <family val="2"/>
      </rPr>
      <t xml:space="preserve">의 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는 성분이 아니다</t>
    </r>
    <r>
      <rPr>
        <sz val="10"/>
        <rFont val="맑은 고딕"/>
        <family val="0"/>
        <charset val="1"/>
      </rPr>
      <t xml:space="preserve">.</t>
    </r>
  </si>
  <si>
    <t xml:space="preserve">경험 성분</t>
  </si>
  <si>
    <r>
      <rPr>
        <sz val="10"/>
        <rFont val="WenQuanYi Zen Hei"/>
        <family val="2"/>
      </rPr>
      <t xml:space="preserve">참여자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목적어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상황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방법 부사어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</si>
  <si>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인터넷에서는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지금은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이제부터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친구의 말을</t>
    </r>
  </si>
  <si>
    <r>
      <rPr>
        <sz val="10"/>
        <rFont val="맑은 고딕"/>
        <family val="0"/>
        <charset val="1"/>
      </rPr>
      <t xml:space="preserve">T3·T4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첫 경험 성분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후보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</si>
  <si>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독립 판정 — 모델 예측</t>
    </r>
    <r>
      <rPr>
        <b val="true"/>
        <sz val="13"/>
        <rFont val="맑은 고딕"/>
        <family val="0"/>
        <charset val="1"/>
      </rPr>
      <t xml:space="preserve">·AI </t>
    </r>
    <r>
      <rPr>
        <b val="true"/>
        <sz val="13"/>
        <rFont val="WenQuanYi Zen Hei"/>
        <family val="2"/>
      </rPr>
      <t xml:space="preserve">판정을 보지 않고 규칙표만으로</t>
    </r>
  </si>
  <si>
    <r>
      <rPr>
        <sz val="9"/>
        <color rgb="FF666666"/>
        <rFont val="WenQuanYi Zen Hei"/>
        <family val="2"/>
      </rPr>
      <t xml:space="preserve">한 행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분석 단위 하나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회색 칸은 준비하는 사람이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노란 칸은 판정자가 채운다</t>
    </r>
    <r>
      <rPr>
        <sz val="9"/>
        <color rgb="FF666666"/>
        <rFont val="맑은 고딕"/>
        <family val="0"/>
        <charset val="1"/>
      </rPr>
      <t xml:space="preserve">. 4–5</t>
    </r>
    <r>
      <rPr>
        <sz val="9"/>
        <color rgb="FF666666"/>
        <rFont val="WenQuanYi Zen Hei"/>
        <family val="2"/>
      </rPr>
      <t xml:space="preserve">행은 예시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집계 제외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WenQuanYi Zen Hei"/>
        <family val="2"/>
      </rPr>
      <t xml:space="preserve">실제 자료는 </t>
    </r>
    <r>
      <rPr>
        <sz val="9"/>
        <color rgb="FF666666"/>
        <rFont val="맑은 고딕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행부터</t>
    </r>
    <r>
      <rPr>
        <sz val="9"/>
        <color rgb="FF666666"/>
        <rFont val="맑은 고딕"/>
        <family val="0"/>
        <charset val="1"/>
      </rPr>
      <t xml:space="preserve">.</t>
    </r>
  </si>
  <si>
    <t xml:space="preserve">판정 방식</t>
  </si>
  <si>
    <r>
      <rPr>
        <b val="true"/>
        <sz val="10"/>
        <color rgb="FFFFFFFF"/>
        <rFont val="WenQuanYi Zen Hei"/>
        <family val="2"/>
      </rPr>
      <t xml:space="preserve">문장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</si>
  <si>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b val="true"/>
        <sz val="10"/>
        <color rgb="FFFFFFFF"/>
        <rFont val="WenQuanYi Zen Hei"/>
        <family val="2"/>
      </rPr>
      <t xml:space="preserve">글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</si>
  <si>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학년</t>
  </si>
  <si>
    <t xml:space="preserve">과제</t>
  </si>
  <si>
    <r>
      <rPr>
        <b val="true"/>
        <sz val="10"/>
        <color rgb="FFFFFFFF"/>
        <rFont val="WenQuanYi Zen Hei"/>
        <family val="2"/>
      </rPr>
      <t xml:space="preserve">앞 문맥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앞 </t>
    </r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문장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</si>
  <si>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대상 문장</t>
  </si>
  <si>
    <t xml:space="preserve">단위</t>
  </si>
  <si>
    <t xml:space="preserve">단위 원문</t>
  </si>
  <si>
    <r>
      <rPr>
        <b val="true"/>
        <sz val="10"/>
        <color rgb="FFFFFFFF"/>
        <rFont val="WenQuanYi Zen Hei"/>
        <family val="2"/>
      </rPr>
      <t xml:space="preserve">단위 종류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선택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</si>
  <si>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명시 주어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있으면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</si>
  <si>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적용 규칙</t>
  </si>
  <si>
    <t xml:space="preserve">메모</t>
  </si>
  <si>
    <t xml:space="preserve">독립 판정</t>
  </si>
  <si>
    <r>
      <rPr>
        <i val="true"/>
        <sz val="10"/>
        <color rgb="FF1F4E9E"/>
        <rFont val="WenQuanYi Zen Hei"/>
        <family val="2"/>
      </rPr>
      <t xml:space="preserve">예시</t>
    </r>
    <r>
      <rPr>
        <i val="true"/>
        <sz val="10"/>
        <color rgb="FF1F4E9E"/>
        <rFont val="맑은 고딕"/>
        <family val="0"/>
        <charset val="1"/>
      </rPr>
      <t xml:space="preserve">-1</t>
    </r>
  </si>
  <si>
    <t xml:space="preserve">예시</t>
  </si>
  <si>
    <r>
      <rPr>
        <i val="true"/>
        <sz val="10"/>
        <color rgb="FF1F4E9E"/>
        <rFont val="WenQuanYi Zen Hei"/>
        <family val="2"/>
      </rPr>
      <t xml:space="preserve">중</t>
    </r>
    <r>
      <rPr>
        <i val="true"/>
        <sz val="10"/>
        <color rgb="FF1F4E9E"/>
        <rFont val="맑은 고딕"/>
        <family val="0"/>
        <charset val="1"/>
      </rPr>
      <t xml:space="preserve">1</t>
    </r>
  </si>
  <si>
    <t xml:space="preserve">05</t>
  </si>
  <si>
    <r>
      <rPr>
        <i val="true"/>
        <sz val="10"/>
        <color rgb="FF1F4E9E"/>
        <rFont val="WenQuanYi Zen Hei"/>
        <family val="2"/>
      </rPr>
      <t xml:space="preserve">요즘 </t>
    </r>
    <r>
      <rPr>
        <i val="true"/>
        <sz val="10"/>
        <color rgb="FF1F4E9E"/>
        <rFont val="맑은 고딕"/>
        <family val="0"/>
        <charset val="1"/>
      </rPr>
      <t xml:space="preserve">SNS</t>
    </r>
    <r>
      <rPr>
        <i val="true"/>
        <sz val="10"/>
        <color rgb="FF1F4E9E"/>
        <rFont val="WenQuanYi Zen Hei"/>
        <family val="2"/>
      </rPr>
      <t xml:space="preserve">에서 악성 댓글이 많다</t>
    </r>
    <r>
      <rPr>
        <i val="true"/>
        <sz val="10"/>
        <color rgb="FF1F4E9E"/>
        <rFont val="맑은 고딕"/>
        <family val="0"/>
        <charset val="1"/>
      </rPr>
      <t xml:space="preserve">. </t>
    </r>
    <r>
      <rPr>
        <i val="true"/>
        <sz val="10"/>
        <color rgb="FF1F4E9E"/>
        <rFont val="WenQuanYi Zen Hei"/>
        <family val="2"/>
      </rPr>
      <t xml:space="preserve">피해를 입는 사람도 늘고 있다</t>
    </r>
    <r>
      <rPr>
        <i val="true"/>
        <sz val="10"/>
        <color rgb="FF1F4E9E"/>
        <rFont val="맑은 고딕"/>
        <family val="0"/>
        <charset val="1"/>
      </rPr>
      <t xml:space="preserve">.</t>
    </r>
  </si>
  <si>
    <r>
      <rPr>
        <i val="true"/>
        <sz val="10"/>
        <color rgb="FF1F4E9E"/>
        <rFont val="WenQuanYi Zen Hei"/>
        <family val="2"/>
      </rPr>
      <t xml:space="preserve">그래서 저는 실명제가 꼭 필요하다고 생각합니다</t>
    </r>
    <r>
      <rPr>
        <i val="true"/>
        <sz val="10"/>
        <color rgb="FF1F4E9E"/>
        <rFont val="맑은 고딕"/>
        <family val="0"/>
        <charset val="1"/>
      </rPr>
      <t xml:space="preserve">.</t>
    </r>
  </si>
  <si>
    <t xml:space="preserve">U1</t>
  </si>
  <si>
    <t xml:space="preserve">그래서 저는 … 생각합니다</t>
  </si>
  <si>
    <t xml:space="preserve">보고절</t>
  </si>
  <si>
    <t xml:space="preserve">저는</t>
  </si>
  <si>
    <t xml:space="preserve">그래서 저는</t>
  </si>
  <si>
    <r>
      <rPr>
        <i val="true"/>
        <sz val="10"/>
        <color rgb="FF1F4E9E"/>
        <rFont val="맑은 고딕"/>
        <family val="0"/>
        <charset val="1"/>
      </rPr>
      <t xml:space="preserve">T2: </t>
    </r>
    <r>
      <rPr>
        <i val="true"/>
        <sz val="10"/>
        <color rgb="FF1F4E9E"/>
        <rFont val="WenQuanYi Zen Hei"/>
        <family val="2"/>
      </rPr>
      <t xml:space="preserve">명시 주어 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저는</t>
    </r>
    <r>
      <rPr>
        <i val="true"/>
        <sz val="10"/>
        <color rgb="FF1F4E9E"/>
        <rFont val="맑은 고딕"/>
        <family val="0"/>
        <charset val="1"/>
      </rPr>
      <t xml:space="preserve">'. </t>
    </r>
    <r>
      <rPr>
        <i val="true"/>
        <sz val="10"/>
        <color rgb="FF1F4E9E"/>
        <rFont val="WenQuanYi Zen Hei"/>
        <family val="2"/>
      </rPr>
      <t xml:space="preserve">절의 시작 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그래서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부터</t>
    </r>
    <r>
      <rPr>
        <i val="true"/>
        <sz val="10"/>
        <color rgb="FF1F4E9E"/>
        <rFont val="맑은 고딕"/>
        <family val="0"/>
        <charset val="1"/>
      </rPr>
      <t xml:space="preserve">.</t>
    </r>
  </si>
  <si>
    <t xml:space="preserve">상</t>
  </si>
  <si>
    <t xml:space="preserve">U2</t>
  </si>
  <si>
    <t xml:space="preserve">실명제가 꼭 필요하다고</t>
  </si>
  <si>
    <t xml:space="preserve">내용절</t>
  </si>
  <si>
    <t xml:space="preserve">실명제가</t>
  </si>
  <si>
    <r>
      <rPr>
        <i val="true"/>
        <sz val="10"/>
        <color rgb="FF1F4E9E"/>
        <rFont val="맑은 고딕"/>
        <family val="0"/>
        <charset val="1"/>
      </rPr>
      <t xml:space="preserve">T2: </t>
    </r>
    <r>
      <rPr>
        <i val="true"/>
        <sz val="10"/>
        <color rgb="FF1F4E9E"/>
        <rFont val="WenQuanYi Zen Hei"/>
        <family val="2"/>
      </rPr>
      <t xml:space="preserve">내용절의 주어 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실명제가</t>
    </r>
    <r>
      <rPr>
        <i val="true"/>
        <sz val="10"/>
        <color rgb="FF1F4E9E"/>
        <rFont val="맑은 고딕"/>
        <family val="0"/>
        <charset val="1"/>
      </rPr>
      <t xml:space="preserve">'. </t>
    </r>
    <r>
      <rPr>
        <i val="true"/>
        <sz val="10"/>
        <color rgb="FF1F4E9E"/>
        <rFont val="WenQuanYi Zen Hei"/>
        <family val="2"/>
      </rPr>
      <t xml:space="preserve">보고절과 나눔</t>
    </r>
    <r>
      <rPr>
        <i val="true"/>
        <sz val="10"/>
        <color rgb="FF1F4E9E"/>
        <rFont val="맑은 고딕"/>
        <family val="0"/>
        <charset val="1"/>
      </rPr>
      <t xml:space="preserve">(A1).</t>
    </r>
  </si>
  <si>
    <r>
      <rPr>
        <b val="true"/>
        <sz val="13"/>
        <rFont val="맑은 고딕"/>
        <family val="0"/>
        <charset val="1"/>
      </rPr>
      <t xml:space="preserve">AI </t>
    </r>
    <r>
      <rPr>
        <b val="true"/>
        <sz val="13"/>
        <rFont val="WenQuanYi Zen Hei"/>
        <family val="2"/>
      </rPr>
      <t xml:space="preserve">초안 검토 — </t>
    </r>
    <r>
      <rPr>
        <b val="true"/>
        <sz val="13"/>
        <rFont val="맑은 고딕"/>
        <family val="0"/>
        <charset val="1"/>
      </rPr>
      <t xml:space="preserve">AI</t>
    </r>
    <r>
      <rPr>
        <b val="true"/>
        <sz val="13"/>
        <rFont val="WenQuanYi Zen Hei"/>
        <family val="2"/>
      </rPr>
      <t xml:space="preserve">가 먼저 판정한 것을 사람이 수용하거나 고친다</t>
    </r>
  </si>
  <si>
    <r>
      <rPr>
        <sz val="9"/>
        <color rgb="FF666666"/>
        <rFont val="WenQuanYi Zen Hei"/>
        <family val="2"/>
      </rPr>
      <t xml:space="preserve">검토 칸에 수용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수정을 고른다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수정이면 고칠 칸만 채우면 되고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비워 둔 칸은 </t>
    </r>
    <r>
      <rPr>
        <sz val="9"/>
        <color rgb="FF666666"/>
        <rFont val="맑은 고딕"/>
        <family val="0"/>
        <charset val="1"/>
      </rPr>
      <t xml:space="preserve">AI </t>
    </r>
    <r>
      <rPr>
        <sz val="9"/>
        <color rgb="FF666666"/>
        <rFont val="WenQuanYi Zen Hei"/>
        <family val="2"/>
      </rPr>
      <t xml:space="preserve">값을 그대로 쓴다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확정 칸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초록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WenQuanYi Zen Hei"/>
        <family val="2"/>
      </rPr>
      <t xml:space="preserve">은 자동</t>
    </r>
    <r>
      <rPr>
        <sz val="9"/>
        <color rgb="FF666666"/>
        <rFont val="맑은 고딕"/>
        <family val="0"/>
        <charset val="1"/>
      </rPr>
      <t xml:space="preserve">. 4–5</t>
    </r>
    <r>
      <rPr>
        <sz val="9"/>
        <color rgb="FF666666"/>
        <rFont val="WenQuanYi Zen Hei"/>
        <family val="2"/>
      </rPr>
      <t xml:space="preserve">행은 예시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실제 자료는 </t>
    </r>
    <r>
      <rPr>
        <sz val="9"/>
        <color rgb="FF666666"/>
        <rFont val="맑은 고딕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행부터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</si>
  <si>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WenQuanYi Zen Hei"/>
        <family val="2"/>
      </rPr>
      <t xml:space="preserve">규칙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</si>
  <si>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WenQuanYi Zen Hei"/>
        <family val="2"/>
      </rPr>
      <t xml:space="preserve">주제부 값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</si>
  <si>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WenQuanYi Zen Hei"/>
        <family val="2"/>
      </rPr>
      <t xml:space="preserve">주제부 원문</t>
    </r>
  </si>
  <si>
    <r>
      <rPr>
        <b val="true"/>
        <sz val="10"/>
        <color rgb="FFFFFFFF"/>
        <rFont val="맑은 고딕"/>
        <family val="0"/>
        <charset val="1"/>
      </rPr>
      <t xml:space="preserve">AI </t>
    </r>
    <r>
      <rPr>
        <b val="true"/>
        <sz val="10"/>
        <color rgb="FFFFFFFF"/>
        <rFont val="WenQuanYi Zen Hei"/>
        <family val="2"/>
      </rPr>
      <t xml:space="preserve">근거</t>
    </r>
  </si>
  <si>
    <t xml:space="preserve">검토</t>
  </si>
  <si>
    <t xml:space="preserve">수정 규칙</t>
  </si>
  <si>
    <t xml:space="preserve">수정 주제부 값</t>
  </si>
  <si>
    <t xml:space="preserve">수정 주제부 원문</t>
  </si>
  <si>
    <t xml:space="preserve">수정 유형</t>
  </si>
  <si>
    <t xml:space="preserve">수정 이유</t>
  </si>
  <si>
    <t xml:space="preserve">확정 규칙</t>
  </si>
  <si>
    <t xml:space="preserve">확정 주제부 값</t>
  </si>
  <si>
    <t xml:space="preserve">확정 주제부 원문</t>
  </si>
  <si>
    <r>
      <rPr>
        <i val="true"/>
        <sz val="10"/>
        <color rgb="FF1F4E9E"/>
        <rFont val="맑은 고딕"/>
        <family val="0"/>
        <charset val="1"/>
      </rPr>
      <t xml:space="preserve">AI </t>
    </r>
    <r>
      <rPr>
        <i val="true"/>
        <sz val="10"/>
        <color rgb="FF1F4E9E"/>
        <rFont val="WenQuanYi Zen Hei"/>
        <family val="2"/>
      </rPr>
      <t xml:space="preserve">초안 검토</t>
    </r>
  </si>
  <si>
    <r>
      <rPr>
        <i val="true"/>
        <sz val="10"/>
        <color rgb="FF1F4E9E"/>
        <rFont val="맑은 고딕"/>
        <family val="0"/>
        <charset val="1"/>
      </rPr>
      <t xml:space="preserve">T2: </t>
    </r>
    <r>
      <rPr>
        <i val="true"/>
        <sz val="10"/>
        <color rgb="FF1F4E9E"/>
        <rFont val="WenQuanYi Zen Hei"/>
        <family val="2"/>
      </rPr>
      <t xml:space="preserve">명시 주어 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저는</t>
    </r>
    <r>
      <rPr>
        <i val="true"/>
        <sz val="10"/>
        <color rgb="FF1F4E9E"/>
        <rFont val="맑은 고딕"/>
        <family val="0"/>
        <charset val="1"/>
      </rPr>
      <t xml:space="preserve">'</t>
    </r>
  </si>
  <si>
    <t xml:space="preserve">수정</t>
  </si>
  <si>
    <t xml:space="preserve">범위 시작</t>
  </si>
  <si>
    <r>
      <rPr>
        <i val="true"/>
        <sz val="10"/>
        <color rgb="FF1F4E9E"/>
        <rFont val="맑은 고딕"/>
        <family val="0"/>
        <charset val="1"/>
      </rPr>
      <t xml:space="preserve">T2 </t>
    </r>
    <r>
      <rPr>
        <i val="true"/>
        <sz val="10"/>
        <color rgb="FF1F4E9E"/>
        <rFont val="WenQuanYi Zen Hei"/>
        <family val="2"/>
      </rPr>
      <t xml:space="preserve">범위는 절의 시작부터</t>
    </r>
    <r>
      <rPr>
        <i val="true"/>
        <sz val="10"/>
        <color rgb="FF1F4E9E"/>
        <rFont val="맑은 고딕"/>
        <family val="0"/>
        <charset val="1"/>
      </rPr>
      <t xml:space="preserve">. </t>
    </r>
    <r>
      <rPr>
        <i val="true"/>
        <sz val="10"/>
        <color rgb="FF1F4E9E"/>
        <rFont val="WenQuanYi Zen Hei"/>
        <family val="2"/>
      </rPr>
      <t xml:space="preserve">연결 표현 </t>
    </r>
    <r>
      <rPr>
        <i val="true"/>
        <sz val="10"/>
        <color rgb="FF1F4E9E"/>
        <rFont val="맑은 고딕"/>
        <family val="0"/>
        <charset val="1"/>
      </rPr>
      <t xml:space="preserve">'</t>
    </r>
    <r>
      <rPr>
        <i val="true"/>
        <sz val="10"/>
        <color rgb="FF1F4E9E"/>
        <rFont val="WenQuanYi Zen Hei"/>
        <family val="2"/>
      </rPr>
      <t xml:space="preserve">그래서</t>
    </r>
    <r>
      <rPr>
        <i val="true"/>
        <sz val="10"/>
        <color rgb="FF1F4E9E"/>
        <rFont val="맑은 고딕"/>
        <family val="0"/>
        <charset val="1"/>
      </rPr>
      <t xml:space="preserve">' </t>
    </r>
    <r>
      <rPr>
        <i val="true"/>
        <sz val="10"/>
        <color rgb="FF1F4E9E"/>
        <rFont val="WenQuanYi Zen Hei"/>
        <family val="2"/>
      </rPr>
      <t xml:space="preserve">포함</t>
    </r>
    <r>
      <rPr>
        <i val="true"/>
        <sz val="10"/>
        <color rgb="FF1F4E9E"/>
        <rFont val="맑은 고딕"/>
        <family val="0"/>
        <charset val="1"/>
      </rPr>
      <t xml:space="preserve">.</t>
    </r>
  </si>
  <si>
    <r>
      <rPr>
        <i val="true"/>
        <sz val="10"/>
        <color rgb="FF1F4E9E"/>
        <rFont val="맑은 고딕"/>
        <family val="0"/>
        <charset val="1"/>
      </rPr>
      <t xml:space="preserve">T2: </t>
    </r>
    <r>
      <rPr>
        <i val="true"/>
        <sz val="10"/>
        <color rgb="FF1F4E9E"/>
        <rFont val="WenQuanYi Zen Hei"/>
        <family val="2"/>
      </rPr>
      <t xml:space="preserve">내용절 주어</t>
    </r>
  </si>
  <si>
    <t xml:space="preserve">수용</t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</si>
  <si>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초안 검토</t>
    </r>
  </si>
  <si>
    <r>
      <rPr>
        <b val="true"/>
        <sz val="13"/>
        <rFont val="WenQuanYi Zen Hei"/>
        <family val="2"/>
      </rPr>
      <t xml:space="preserve">연습문항 — 직접 판정한 뒤 </t>
    </r>
    <r>
      <rPr>
        <b val="true"/>
        <sz val="13"/>
        <rFont val="맑은 고딕"/>
        <family val="0"/>
        <charset val="1"/>
      </rPr>
      <t xml:space="preserve">'</t>
    </r>
    <r>
      <rPr>
        <b val="true"/>
        <sz val="13"/>
        <rFont val="WenQuanYi Zen Hei"/>
        <family val="2"/>
      </rPr>
      <t xml:space="preserve">연습문항</t>
    </r>
    <r>
      <rPr>
        <b val="true"/>
        <sz val="13"/>
        <rFont val="맑은 고딕"/>
        <family val="0"/>
        <charset val="1"/>
      </rPr>
      <t xml:space="preserve">_</t>
    </r>
    <r>
      <rPr>
        <b val="true"/>
        <sz val="13"/>
        <rFont val="WenQuanYi Zen Hei"/>
        <family val="2"/>
      </rPr>
      <t xml:space="preserve">권장답안</t>
    </r>
    <r>
      <rPr>
        <b val="true"/>
        <sz val="13"/>
        <rFont val="맑은 고딕"/>
        <family val="0"/>
        <charset val="1"/>
      </rPr>
      <t xml:space="preserve">_2026-10-05.md'</t>
    </r>
    <r>
      <rPr>
        <b val="true"/>
        <sz val="13"/>
        <rFont val="WenQuanYi Zen Hei"/>
        <family val="2"/>
      </rPr>
      <t xml:space="preserve">와 견준다</t>
    </r>
  </si>
  <si>
    <r>
      <rPr>
        <sz val="9"/>
        <color rgb="FF666666"/>
        <rFont val="WenQuanYi Zen Hei"/>
        <family val="2"/>
      </rPr>
      <t xml:space="preserve">문항마다 </t>
    </r>
    <r>
      <rPr>
        <sz val="9"/>
        <color rgb="FF666666"/>
        <rFont val="맑은 고딕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행을 두었다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단위가 하나면 나머지 행은 비워 두고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셋보다 많으면 행을 삽입한다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예문은 새로 만든 것이며 실제 학습자 글이 아니다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</si>
  <si>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연습</t>
  </si>
  <si>
    <t xml:space="preserve">P01</t>
  </si>
  <si>
    <t xml:space="preserve">-</t>
  </si>
  <si>
    <r>
      <rPr>
        <sz val="10"/>
        <rFont val="WenQuanYi Zen Hei"/>
        <family val="2"/>
      </rPr>
      <t xml:space="preserve">그러나 제 생각에는 </t>
    </r>
    <r>
      <rPr>
        <sz val="10"/>
        <rFont val="맑은 고딕"/>
        <family val="0"/>
        <charset val="1"/>
      </rPr>
      <t xml:space="preserve">SNS </t>
    </r>
    <r>
      <rPr>
        <sz val="10"/>
        <rFont val="WenQuanYi Zen Hei"/>
        <family val="2"/>
      </rPr>
      <t xml:space="preserve">실명제가 꼭 필요합니다</t>
    </r>
    <r>
      <rPr>
        <sz val="10"/>
        <rFont val="맑은 고딕"/>
        <family val="0"/>
        <charset val="1"/>
      </rPr>
      <t xml:space="preserve">.</t>
    </r>
  </si>
  <si>
    <t xml:space="preserve">P02</t>
  </si>
  <si>
    <r>
      <rPr>
        <sz val="10"/>
        <rFont val="WenQuanYi Zen Hei"/>
        <family val="2"/>
      </rPr>
      <t xml:space="preserve">저는 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스포츠도 스포츠라고 생각합니다</t>
    </r>
    <r>
      <rPr>
        <sz val="10"/>
        <rFont val="맑은 고딕"/>
        <family val="0"/>
        <charset val="1"/>
      </rPr>
      <t xml:space="preserve">.</t>
    </r>
  </si>
  <si>
    <t xml:space="preserve">P03</t>
  </si>
  <si>
    <r>
      <rPr>
        <sz val="10"/>
        <rFont val="WenQuanYi Zen Hei"/>
        <family val="2"/>
      </rPr>
      <t xml:space="preserve">나는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스포츠가 건강에 해롭다고 생각하지 않는다</t>
    </r>
    <r>
      <rPr>
        <sz val="10"/>
        <rFont val="맑은 고딕"/>
        <family val="0"/>
        <charset val="1"/>
      </rPr>
      <t xml:space="preserve">.</t>
    </r>
  </si>
  <si>
    <t xml:space="preserve">P04</t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</si>
  <si>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는 장점도 많지만 단점도 많다</t>
    </r>
    <r>
      <rPr>
        <sz val="10"/>
        <rFont val="맑은 고딕"/>
        <family val="0"/>
        <charset val="1"/>
      </rPr>
      <t xml:space="preserve">.</t>
    </r>
  </si>
  <si>
    <t xml:space="preserve">P05</t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</si>
  <si>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를 오래 사용하는 학생들은 수면 시간이 부족해진다</t>
    </r>
    <r>
      <rPr>
        <sz val="10"/>
        <rFont val="맑은 고딕"/>
        <family val="0"/>
        <charset val="1"/>
      </rPr>
      <t xml:space="preserve">.</t>
    </r>
  </si>
  <si>
    <t xml:space="preserve">P06</t>
  </si>
  <si>
    <r>
      <rPr>
        <sz val="10"/>
        <rFont val="WenQuanYi Zen Hei"/>
        <family val="2"/>
      </rPr>
      <t xml:space="preserve">악성 댓글을 다는 사람은 처벌을 받아야 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</si>
  <si>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왜냐하면 악성 댓글은 사람의 마음에 큰 상처를 남기기 때문이다</t>
    </r>
    <r>
      <rPr>
        <sz val="10"/>
        <rFont val="맑은 고딕"/>
        <family val="0"/>
        <charset val="1"/>
      </rPr>
      <t xml:space="preserve">.</t>
    </r>
  </si>
  <si>
    <t xml:space="preserve">P07</t>
  </si>
  <si>
    <r>
      <rPr>
        <sz val="10"/>
        <rFont val="WenQuanYi Zen Hei"/>
        <family val="2"/>
      </rPr>
      <t xml:space="preserve">그 이유는 악성 댓글이 사람의 마음에 큰 상처를 남기기 때문이다</t>
    </r>
    <r>
      <rPr>
        <sz val="10"/>
        <rFont val="맑은 고딕"/>
        <family val="0"/>
        <charset val="1"/>
      </rPr>
      <t xml:space="preserve">.</t>
    </r>
  </si>
  <si>
    <t xml:space="preserve">P08</t>
  </si>
  <si>
    <r>
      <rPr>
        <sz val="10"/>
        <rFont val="WenQuanYi Zen Hei"/>
        <family val="2"/>
      </rPr>
      <t xml:space="preserve">인터넷에서는 거짓 정보도 쉽게 볼 수 있다</t>
    </r>
    <r>
      <rPr>
        <sz val="10"/>
        <rFont val="맑은 고딕"/>
        <family val="0"/>
        <charset val="1"/>
      </rPr>
      <t xml:space="preserve">.</t>
    </r>
  </si>
  <si>
    <t xml:space="preserve">P09</t>
  </si>
  <si>
    <r>
      <rPr>
        <sz val="10"/>
        <rFont val="WenQuanYi Zen Hei"/>
        <family val="2"/>
      </rPr>
      <t xml:space="preserve">이런 악습은 하루빨리 없애야 한다</t>
    </r>
    <r>
      <rPr>
        <sz val="10"/>
        <rFont val="맑은 고딕"/>
        <family val="0"/>
        <charset val="1"/>
      </rPr>
      <t xml:space="preserve">.</t>
    </r>
  </si>
  <si>
    <t xml:space="preserve">P10</t>
  </si>
  <si>
    <r>
      <rPr>
        <sz val="10"/>
        <rFont val="WenQuanYi Zen Hei"/>
        <family val="2"/>
      </rPr>
      <t xml:space="preserve">학교 폭력은 점점 늘고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</si>
  <si>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그렇다면 어떻게 해야 할까</t>
    </r>
    <r>
      <rPr>
        <sz val="10"/>
        <rFont val="맑은 고딕"/>
        <family val="0"/>
        <charset val="1"/>
      </rPr>
      <t xml:space="preserve">?</t>
    </r>
  </si>
  <si>
    <t xml:space="preserve">P11</t>
  </si>
  <si>
    <r>
      <rPr>
        <sz val="10"/>
        <rFont val="WenQuanYi Zen Hei"/>
        <family val="2"/>
      </rPr>
      <t xml:space="preserve">나는 처음에 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스포츠를 싫어했지만 지금은 즐겨 본다</t>
    </r>
    <r>
      <rPr>
        <sz val="10"/>
        <rFont val="맑은 고딕"/>
        <family val="0"/>
        <charset val="1"/>
      </rPr>
      <t xml:space="preserve">.</t>
    </r>
  </si>
  <si>
    <t xml:space="preserve">P12</t>
  </si>
  <si>
    <r>
      <rPr>
        <sz val="10"/>
        <rFont val="WenQuanYi Zen Hei"/>
        <family val="2"/>
      </rPr>
      <t xml:space="preserve">학교 폭력은 작은 다툼에서 시작되는 경우가 많다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</si>
  <si>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폭력을 예방하려면 친구의 말을 끝까지 들어 주어야 한다</t>
    </r>
    <r>
      <rPr>
        <sz val="10"/>
        <rFont val="맑은 고딕"/>
        <family val="0"/>
        <charset val="1"/>
      </rPr>
      <t xml:space="preserve">.</t>
    </r>
  </si>
  <si>
    <t xml:space="preserve">P13</t>
  </si>
  <si>
    <r>
      <rPr>
        <sz val="10"/>
        <rFont val="WenQuanYi Zen Hei"/>
        <family val="2"/>
      </rPr>
      <t xml:space="preserve">여러분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악성 댓글을 달지 맙시다</t>
    </r>
    <r>
      <rPr>
        <sz val="10"/>
        <rFont val="맑은 고딕"/>
        <family val="0"/>
        <charset val="1"/>
      </rPr>
      <t xml:space="preserve">.</t>
    </r>
  </si>
  <si>
    <t xml:space="preserve">P14</t>
  </si>
  <si>
    <r>
      <rPr>
        <sz val="10"/>
        <rFont val="WenQuanYi Zen Hei"/>
        <family val="2"/>
      </rPr>
      <t xml:space="preserve">인터넷에는 사실이 아닌 정보도 많다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</si>
  <si>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그러므로 조심해야 한다</t>
    </r>
    <r>
      <rPr>
        <sz val="10"/>
        <rFont val="맑은 고딕"/>
        <family val="0"/>
        <charset val="1"/>
      </rPr>
      <t xml:space="preserve">.</t>
    </r>
  </si>
  <si>
    <t xml:space="preserve">P15</t>
  </si>
  <si>
    <r>
      <rPr>
        <sz val="10"/>
        <rFont val="WenQuanYi Zen Hei"/>
        <family val="2"/>
      </rPr>
      <t xml:space="preserve">정부는 </t>
    </r>
    <r>
      <rPr>
        <sz val="10"/>
        <rFont val="맑은 고딕"/>
        <family val="0"/>
        <charset val="1"/>
      </rPr>
      <t xml:space="preserve">SNS </t>
    </r>
    <r>
      <rPr>
        <sz val="10"/>
        <rFont val="WenQuanYi Zen Hei"/>
        <family val="2"/>
      </rPr>
      <t xml:space="preserve">실명제를 도입해야 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</si>
  <si>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그리고 악성 댓글에 대한 처벌도 강화해야 한다</t>
    </r>
    <r>
      <rPr>
        <sz val="10"/>
        <rFont val="맑은 고딕"/>
        <family val="0"/>
        <charset val="1"/>
      </rPr>
      <t xml:space="preserve">.</t>
    </r>
  </si>
  <si>
    <t xml:space="preserve">P16</t>
  </si>
  <si>
    <r>
      <rPr>
        <sz val="10"/>
        <rFont val="WenQuanYi Zen Hei"/>
        <family val="2"/>
      </rPr>
      <t xml:space="preserve">나는 하루에 </t>
    </r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를 다섯 시간 넘게 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</si>
  <si>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이제부터 사용 시간을 줄여야겠다</t>
    </r>
    <r>
      <rPr>
        <sz val="10"/>
        <rFont val="맑은 고딕"/>
        <family val="0"/>
        <charset val="1"/>
      </rPr>
      <t xml:space="preserve">.</t>
    </r>
  </si>
  <si>
    <t xml:space="preserve">P17</t>
  </si>
  <si>
    <r>
      <rPr>
        <sz val="10"/>
        <rFont val="WenQuanYi Zen Hei"/>
        <family val="2"/>
      </rPr>
      <t xml:space="preserve">우리는 다른 문화를 이해하고 존중해야 한다</t>
    </r>
    <r>
      <rPr>
        <sz val="10"/>
        <rFont val="맑은 고딕"/>
        <family val="0"/>
        <charset val="1"/>
      </rPr>
      <t xml:space="preserve">.</t>
    </r>
  </si>
  <si>
    <t xml:space="preserve">P18</t>
  </si>
  <si>
    <r>
      <rPr>
        <sz val="10"/>
        <rFont val="WenQuanYi Zen Hei"/>
        <family val="2"/>
      </rPr>
      <t xml:space="preserve">다시 말해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우리는 서로의 문화를 존중해야 한다</t>
    </r>
    <r>
      <rPr>
        <sz val="10"/>
        <rFont val="맑은 고딕"/>
        <family val="0"/>
        <charset val="1"/>
      </rPr>
      <t xml:space="preserve">.</t>
    </r>
  </si>
  <si>
    <t xml:space="preserve">P19</t>
  </si>
  <si>
    <r>
      <rPr>
        <sz val="10"/>
        <rFont val="WenQuanYi Zen Hei"/>
        <family val="2"/>
      </rPr>
      <t xml:space="preserve">학교 폭력을 줄이기 위해 학교는 상담 선생님을 늘려야 한다</t>
    </r>
    <r>
      <rPr>
        <sz val="10"/>
        <rFont val="맑은 고딕"/>
        <family val="0"/>
        <charset val="1"/>
      </rPr>
      <t xml:space="preserve">.</t>
    </r>
  </si>
  <si>
    <t xml:space="preserve">P20</t>
  </si>
  <si>
    <r>
      <rPr>
        <sz val="10"/>
        <rFont val="WenQuanYi Zen Hei"/>
        <family val="2"/>
      </rPr>
      <t xml:space="preserve">실명제 도입이 되면 악성 댓글이 줄어들 것이다</t>
    </r>
    <r>
      <rPr>
        <sz val="10"/>
        <rFont val="맑은 고딕"/>
        <family val="0"/>
        <charset val="1"/>
      </rPr>
      <t xml:space="preserve">.</t>
    </r>
  </si>
  <si>
    <t xml:space="preserve">P21</t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</si>
  <si>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에는 여러 가지 문제가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</si>
  <si>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예를 들면 사이버 폭력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개인 정보 유출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중독 등</t>
    </r>
    <r>
      <rPr>
        <sz val="10"/>
        <rFont val="맑은 고딕"/>
        <family val="0"/>
        <charset val="1"/>
      </rPr>
      <t xml:space="preserve">.</t>
    </r>
  </si>
  <si>
    <t xml:space="preserve">P22</t>
  </si>
  <si>
    <r>
      <rPr>
        <sz val="10"/>
        <rFont val="WenQuanYi Zen Hei"/>
        <family val="2"/>
      </rPr>
      <t xml:space="preserve">과연 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스포츠를 스포츠로 인정할 수 있을까</t>
    </r>
    <r>
      <rPr>
        <sz val="10"/>
        <rFont val="맑은 고딕"/>
        <family val="0"/>
        <charset val="1"/>
      </rPr>
      <t xml:space="preserve">?</t>
    </r>
  </si>
  <si>
    <t xml:space="preserve">P23</t>
  </si>
  <si>
    <r>
      <rPr>
        <sz val="10"/>
        <rFont val="맑은 고딕"/>
        <family val="0"/>
        <charset val="1"/>
      </rPr>
      <t xml:space="preserve">SNS</t>
    </r>
    <r>
      <rPr>
        <sz val="10"/>
        <rFont val="WenQuanYi Zen Hei"/>
        <family val="2"/>
      </rPr>
      <t xml:space="preserve">의 문제점은 개인 정보 유출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사이버 폭력 등이 일어난다</t>
    </r>
    <r>
      <rPr>
        <sz val="10"/>
        <rFont val="맑은 고딕"/>
        <family val="0"/>
        <charset val="1"/>
      </rPr>
      <t xml:space="preserve">.</t>
    </r>
  </si>
  <si>
    <t xml:space="preserve">P24</t>
  </si>
  <si>
    <r>
      <rPr>
        <sz val="10"/>
        <rFont val="WenQuanYi Zen Hei"/>
        <family val="2"/>
      </rPr>
      <t xml:space="preserve">저는 다문화 가정을 차별하면 안 된다고 생각합니다</t>
    </r>
    <r>
      <rPr>
        <sz val="10"/>
        <rFont val="맑은 고딕"/>
        <family val="0"/>
        <charset val="1"/>
      </rPr>
      <t xml:space="preserve">.</t>
    </r>
  </si>
  <si>
    <t xml:space="preserve">P25</t>
  </si>
  <si>
    <r>
      <rPr>
        <sz val="10"/>
        <rFont val="WenQuanYi Zen Hei"/>
        <family val="2"/>
      </rPr>
      <t xml:space="preserve">전통 중에는 지킬 것도 있고 버릴 것도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</si>
  <si>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그래서 결론은 좋은 전통은 지키되 악습은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</si>
  <si>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집계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자동 계산 — 고치지 않는다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</si>
  <si>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예시 행</t>
    </r>
    <r>
      <rPr>
        <sz val="9"/>
        <color rgb="FF666666"/>
        <rFont val="맑은 고딕"/>
        <family val="0"/>
        <charset val="1"/>
      </rPr>
      <t xml:space="preserve">(4–5</t>
    </r>
    <r>
      <rPr>
        <sz val="9"/>
        <color rgb="FF666666"/>
        <rFont val="WenQuanYi Zen Hei"/>
        <family val="2"/>
      </rPr>
      <t xml:space="preserve">행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WenQuanYi Zen Hei"/>
        <family val="2"/>
      </rPr>
      <t xml:space="preserve">은 세지 않는다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문장 수는 문장</t>
    </r>
    <r>
      <rPr>
        <sz val="9"/>
        <color rgb="FF666666"/>
        <rFont val="맑은 고딕"/>
        <family val="0"/>
        <charset val="1"/>
      </rPr>
      <t xml:space="preserve">ID</t>
    </r>
    <r>
      <rPr>
        <sz val="9"/>
        <color rgb="FF666666"/>
        <rFont val="WenQuanYi Zen Hei"/>
        <family val="2"/>
      </rPr>
      <t xml:space="preserve">의 종류 수다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</si>
  <si>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문장 수</t>
  </si>
  <si>
    <r>
      <rPr>
        <sz val="10"/>
        <rFont val="WenQuanYi Zen Hei"/>
        <family val="2"/>
      </rPr>
      <t xml:space="preserve">분석 단위 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 칸이 </t>
    </r>
    <r>
      <rPr>
        <sz val="10"/>
        <rFont val="맑은 고딕"/>
        <family val="0"/>
        <charset val="1"/>
      </rPr>
      <t xml:space="preserve">'-'</t>
    </r>
    <r>
      <rPr>
        <sz val="10"/>
        <rFont val="WenQuanYi Zen Hei"/>
        <family val="2"/>
      </rPr>
      <t xml:space="preserve">가 아닌 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</si>
  <si>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T1</t>
    </r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</si>
  <si>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T2</t>
    </r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</si>
  <si>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T3</t>
    </r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</si>
  <si>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T4</t>
    </r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</si>
  <si>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T5</t>
    </r>
  </si>
  <si>
    <t xml:space="preserve">  적용 규칙 유보</t>
  </si>
  <si>
    <r>
      <rPr>
        <sz val="10"/>
        <rFont val="WenQuanYi Zen Hei"/>
        <family val="2"/>
      </rPr>
      <t xml:space="preserve">  적용 규칙 </t>
    </r>
    <r>
      <rPr>
        <sz val="10"/>
        <rFont val="맑은 고딕"/>
        <family val="0"/>
        <charset val="1"/>
      </rPr>
      <t xml:space="preserve">C5</t>
    </r>
  </si>
  <si>
    <t xml:space="preserve">  주제부 값 범위</t>
  </si>
  <si>
    <r>
      <rPr>
        <sz val="10"/>
        <rFont val="WenQuanYi Zen Hei"/>
        <family val="2"/>
      </rPr>
      <t xml:space="preserve">  주제부 값 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논평만</t>
    </r>
  </si>
  <si>
    <t xml:space="preserve">  주제부 값 명시 없음</t>
  </si>
  <si>
    <t xml:space="preserve">  주제부 값 유보</t>
  </si>
  <si>
    <t xml:space="preserve">  주제부 값 절 아님</t>
  </si>
  <si>
    <r>
      <rPr>
        <sz val="10"/>
        <rFont val="WenQuanYi Zen Hei"/>
        <family val="2"/>
      </rPr>
      <t xml:space="preserve">확신도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 단위</t>
    </r>
  </si>
  <si>
    <r>
      <rPr>
        <sz val="9"/>
        <color rgb="FF666666"/>
        <rFont val="WenQuanYi Zen Hei"/>
        <family val="2"/>
      </rPr>
      <t xml:space="preserve">판단이 갈리는 유형을 모을 때 필터로 본다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</si>
  <si>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적용 규칙이 빈 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판정 누락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</si>
  <si>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0</t>
    </r>
    <r>
      <rPr>
        <sz val="9"/>
        <color rgb="FF666666"/>
        <rFont val="WenQuanYi Zen Hei"/>
        <family val="2"/>
      </rPr>
      <t xml:space="preserve">이어야 판정 완료</t>
    </r>
    <r>
      <rPr>
        <sz val="9"/>
        <color rgb="FF666666"/>
        <rFont val="맑은 고딕"/>
        <family val="0"/>
        <charset val="1"/>
      </rPr>
      <t xml:space="preserve">.</t>
    </r>
  </si>
  <si>
    <t xml:space="preserve">검토한 단위 수</t>
  </si>
  <si>
    <t xml:space="preserve">  수정한 단위 수</t>
  </si>
  <si>
    <t xml:space="preserve">  단위 수정 비율</t>
  </si>
  <si>
    <r>
      <rPr>
        <sz val="9"/>
        <color rgb="FF666666"/>
        <rFont val="WenQuanYi Zen Hei"/>
        <family val="2"/>
      </rPr>
      <t xml:space="preserve">사람이 </t>
    </r>
    <r>
      <rPr>
        <sz val="9"/>
        <color rgb="FF666666"/>
        <rFont val="맑은 고딕"/>
        <family val="0"/>
        <charset val="1"/>
      </rPr>
      <t xml:space="preserve">AI </t>
    </r>
    <r>
      <rPr>
        <sz val="9"/>
        <color rgb="FF666666"/>
        <rFont val="WenQuanYi Zen Hei"/>
        <family val="2"/>
      </rPr>
      <t xml:space="preserve">초안을 고친 비율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단위 기준</t>
    </r>
    <r>
      <rPr>
        <sz val="9"/>
        <color rgb="FF666666"/>
        <rFont val="맑은 고딕"/>
        <family val="0"/>
        <charset val="1"/>
      </rPr>
      <t xml:space="preserve">).</t>
    </r>
  </si>
  <si>
    <t xml:space="preserve">  하나라도 수정한 문장 수</t>
  </si>
  <si>
    <t xml:space="preserve">  문장 수정 비율</t>
  </si>
  <si>
    <r>
      <rPr>
        <sz val="9"/>
        <color rgb="FF666666"/>
        <rFont val="맑은 고딕"/>
        <family val="0"/>
        <charset val="1"/>
      </rPr>
      <t xml:space="preserve">AI </t>
    </r>
    <r>
      <rPr>
        <sz val="9"/>
        <color rgb="FF666666"/>
        <rFont val="WenQuanYi Zen Hei"/>
        <family val="2"/>
      </rPr>
      <t xml:space="preserve">초안이 문장째 그대로 받아들여지지 않은 비율</t>
    </r>
    <r>
      <rPr>
        <sz val="9"/>
        <color rgb="FF666666"/>
        <rFont val="맑은 고딕"/>
        <family val="0"/>
        <charset val="1"/>
      </rPr>
      <t xml:space="preserve">.</t>
    </r>
  </si>
  <si>
    <t xml:space="preserve">  규칙 번호가 바뀐 단위 수</t>
  </si>
  <si>
    <r>
      <rPr>
        <sz val="10"/>
        <rFont val="WenQuanYi Zen Hei"/>
        <family val="2"/>
      </rPr>
      <t xml:space="preserve">검토 칸이 빈 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검토 누락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</si>
  <si>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0</t>
    </r>
    <r>
      <rPr>
        <sz val="9"/>
        <color rgb="FF666666"/>
        <rFont val="WenQuanYi Zen Hei"/>
        <family val="2"/>
      </rPr>
      <t xml:space="preserve">이어야 검토 완료</t>
    </r>
    <r>
      <rPr>
        <sz val="9"/>
        <color rgb="FF666666"/>
        <rFont val="맑은 고딕"/>
        <family val="0"/>
        <charset val="1"/>
      </rPr>
      <t xml:space="preserve">.</t>
    </r>
  </si>
  <si>
    <t xml:space="preserve">수정 유형별 단위 수</t>
  </si>
  <si>
    <t xml:space="preserve">  단위 나누기</t>
  </si>
  <si>
    <t xml:space="preserve">  주어 식별</t>
  </si>
  <si>
    <t xml:space="preserve">  범위 시작</t>
  </si>
  <si>
    <t xml:space="preserve">  범위 끝</t>
  </si>
  <si>
    <r>
      <rPr>
        <sz val="10"/>
        <rFont val="맑은 고딕"/>
        <family val="0"/>
        <charset val="1"/>
      </rPr>
      <t xml:space="preserve">  T3 </t>
    </r>
    <r>
      <rPr>
        <sz val="10"/>
        <rFont val="WenQuanYi Zen Hei"/>
        <family val="2"/>
      </rPr>
      <t xml:space="preserve">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는 성분</t>
    </r>
  </si>
  <si>
    <r>
      <rPr>
        <sz val="10"/>
        <rFont val="맑은 고딕"/>
        <family val="0"/>
        <charset val="1"/>
      </rPr>
      <t xml:space="preserve">  T4·T5 </t>
    </r>
    <r>
      <rPr>
        <sz val="10"/>
        <rFont val="WenQuanYi Zen Hei"/>
        <family val="2"/>
      </rPr>
      <t xml:space="preserve">구분</t>
    </r>
  </si>
  <si>
    <t xml:space="preserve">  명사성 틀</t>
  </si>
  <si>
    <r>
      <rPr>
        <sz val="10"/>
        <rFont val="WenQuanYi Zen Hei"/>
        <family val="2"/>
      </rPr>
      <t xml:space="preserve">  연결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논평 기록</t>
    </r>
  </si>
  <si>
    <t xml:space="preserve">  유보 여부</t>
  </si>
  <si>
    <t xml:space="preserve">  기타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</si>
</sst>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맑은 고딕"/>
      <family val="0"/>
      <charset val="1"/>
    </font>
    <font>
      <sz val="9"/>
      <color rgb="FF666666"/>
      <name val="WenQuanYi Zen Hei"/>
      <family val="2"/>
    </font>
    <font>
      <sz val="9"/>
      <color rgb="FF666666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i val="true"/>
      <sz val="10"/>
      <color rgb="FF1F4E9E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i val="true"/>
      <sz val="10"/>
      <color rgb="FF1F4E9E"/>
      <name val="WenQuanYi Zen Hei"/>
      <family val="2"/>
    </font>
    <font>
      <i val="true"/>
      <sz val="10"/>
      <color rgb="FF1F4E9E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44546A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4546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1F4E9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  <c r="B1" s="1"/>
    </row>
    <row r="2" customFormat="false" ht="13.4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7" t="s">
        <v>6</v>
      </c>
    </row>
    <row r="7" customFormat="false" ht="26.8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8" t="s">
        <v>12</v>
      </c>
      <c r="B11" s="6" t="s">
        <v>13</v>
      </c>
    </row>
    <row r="12" customFormat="false" ht="15" hidden="false" customHeight="false" outlineLevel="0" collapsed="false">
      <c r="A12" s="9" t="s">
        <v>14</v>
      </c>
      <c r="B12" s="6" t="s">
        <v>15</v>
      </c>
    </row>
    <row r="13" customFormat="false" ht="15" hidden="false" customHeight="false" outlineLevel="0" collapsed="false">
      <c r="A13" s="10" t="s">
        <v>16</v>
      </c>
      <c r="B13" s="6" t="s">
        <v>17</v>
      </c>
    </row>
    <row r="14" customFormat="false" ht="15" hidden="false" customHeight="false" outlineLevel="0" collapsed="false">
      <c r="A14" s="11" t="s">
        <v>18</v>
      </c>
      <c r="B14" s="6" t="s">
        <v>19</v>
      </c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5" t="s">
        <v>21</v>
      </c>
      <c r="B17" s="6" t="s">
        <v>22</v>
      </c>
    </row>
    <row r="18" customFormat="false" ht="15" hidden="false" customHeight="false" outlineLevel="0" collapsed="false">
      <c r="A18" s="5" t="s">
        <v>23</v>
      </c>
      <c r="B18" s="6" t="s">
        <v>24</v>
      </c>
    </row>
    <row r="19" customFormat="false" ht="15" hidden="false" customHeight="false" outlineLevel="0" collapsed="false">
      <c r="A19" s="5" t="s">
        <v>25</v>
      </c>
      <c r="B19" s="6" t="s">
        <v>26</v>
      </c>
    </row>
    <row r="20" customFormat="false" ht="15" hidden="false" customHeight="false" outlineLevel="0" collapsed="false">
      <c r="A20" s="5" t="s">
        <v>27</v>
      </c>
      <c r="B20" s="6" t="s">
        <v>28</v>
      </c>
    </row>
    <row r="21" customFormat="false" ht="26.85" hidden="false" customHeight="false" outlineLevel="0" collapsed="false">
      <c r="A21" s="5" t="s">
        <v>29</v>
      </c>
      <c r="B21" s="6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5" t="s">
        <v>33</v>
      </c>
      <c r="B23" s="6" t="s">
        <v>34</v>
      </c>
    </row>
    <row r="24" customFormat="false" ht="15" hidden="false" customHeight="false" outlineLevel="0" collapsed="false">
      <c r="A24" s="5" t="s">
        <v>35</v>
      </c>
      <c r="B24" s="6" t="s">
        <v>36</v>
      </c>
    </row>
    <row r="26" customFormat="false" ht="15" hidden="false" customHeight="false" outlineLevel="0" collapsed="false">
      <c r="A26" s="3" t="s">
        <v>37</v>
      </c>
      <c r="B26" s="4"/>
    </row>
    <row r="27" customFormat="false" ht="15" hidden="false" customHeight="false" outlineLevel="0" collapsed="false">
      <c r="A27" s="5" t="s">
        <v>38</v>
      </c>
      <c r="B27" s="6" t="s">
        <v>39</v>
      </c>
    </row>
    <row r="28" customFormat="false" ht="15" hidden="false" customHeight="false" outlineLevel="0" collapsed="false">
      <c r="A28" s="5" t="s">
        <v>40</v>
      </c>
      <c r="B28" s="6" t="s">
        <v>41</v>
      </c>
    </row>
    <row r="29" customFormat="false" ht="15" hidden="false" customHeight="false" outlineLevel="0" collapsed="false">
      <c r="A29" s="5" t="s">
        <v>42</v>
      </c>
      <c r="B29" s="6" t="s">
        <v>43</v>
      </c>
    </row>
    <row r="31" customFormat="false" ht="15" hidden="false" customHeight="false" outlineLevel="0" collapsed="false">
      <c r="A31" s="3" t="s">
        <v>44</v>
      </c>
      <c r="B31" s="4"/>
    </row>
    <row r="32" customFormat="false" ht="15" hidden="false" customHeight="false" outlineLevel="0" collapsed="false">
      <c r="A32" s="12" t="s">
        <v>45</v>
      </c>
      <c r="B32" s="6" t="s">
        <v>46</v>
      </c>
    </row>
    <row r="33" customFormat="false" ht="15" hidden="false" customHeight="false" outlineLevel="0" collapsed="false">
      <c r="A33" s="12" t="s">
        <v>47</v>
      </c>
      <c r="B33" s="6" t="s">
        <v>48</v>
      </c>
    </row>
    <row r="34" customFormat="false" ht="15" hidden="false" customHeight="false" outlineLevel="0" collapsed="false">
      <c r="A34" s="12" t="s">
        <v>49</v>
      </c>
      <c r="B34" s="6" t="s">
        <v>50</v>
      </c>
    </row>
    <row r="35" customFormat="false" ht="15" hidden="false" customHeight="false" outlineLevel="0" collapsed="false">
      <c r="A35" s="12" t="s">
        <v>51</v>
      </c>
      <c r="B35" s="6" t="s">
        <v>52</v>
      </c>
    </row>
    <row r="36" customFormat="false" ht="15" hidden="false" customHeight="false" outlineLevel="0" collapsed="false">
      <c r="A36" s="12" t="s">
        <v>53</v>
      </c>
      <c r="B36" s="7" t="s">
        <v>54</v>
      </c>
    </row>
    <row r="38" customFormat="false" ht="15" hidden="false" customHeight="false" outlineLevel="0" collapsed="false">
      <c r="A38" s="3" t="s">
        <v>55</v>
      </c>
      <c r="B38" s="4"/>
    </row>
    <row r="39" customFormat="false" ht="15" hidden="false" customHeight="false" outlineLevel="0" collapsed="false">
      <c r="A39" s="5" t="s">
        <v>56</v>
      </c>
      <c r="B39" s="6" t="s">
        <v>57</v>
      </c>
    </row>
    <row r="40" customFormat="false" ht="15" hidden="false" customHeight="false" outlineLevel="0" collapsed="false">
      <c r="A40" s="5" t="s">
        <v>58</v>
      </c>
      <c r="B40" s="6" t="s">
        <v>59</v>
      </c>
    </row>
    <row r="41" customFormat="false" ht="15" hidden="false" customHeight="false" outlineLevel="0" collapsed="false">
      <c r="A41" s="5" t="s">
        <v>60</v>
      </c>
      <c r="B41" s="6" t="s">
        <v>61</v>
      </c>
    </row>
    <row r="42" customFormat="false" ht="15" hidden="false" customHeight="false" outlineLevel="0" collapsed="false">
      <c r="A42" s="5" t="s">
        <v>62</v>
      </c>
      <c r="B42" s="6" t="s">
        <v>63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4" min="4" style="0" width="50"/>
  </cols>
  <sheetData>
    <row r="1" customFormat="false" ht="17.15" hidden="false" customHeight="false" outlineLevel="0" collapsed="false">
      <c r="A1" s="13" t="s">
        <v>64</v>
      </c>
    </row>
    <row r="2" customFormat="false" ht="15" hidden="false" customHeight="false" outlineLevel="0" collapsed="false">
      <c r="A2" s="14" t="s">
        <v>65</v>
      </c>
    </row>
    <row r="4" customFormat="false" ht="15" hidden="false" customHeight="false" outlineLevel="0" collapsed="false">
      <c r="A4" s="15" t="s">
        <v>66</v>
      </c>
    </row>
    <row r="5" customFormat="false" ht="15" hidden="false" customHeight="false" outlineLevel="0" collapsed="false">
      <c r="A5" s="16" t="s">
        <v>67</v>
      </c>
      <c r="B5" s="16" t="s">
        <v>68</v>
      </c>
      <c r="C5" s="16" t="s">
        <v>69</v>
      </c>
      <c r="D5" s="16"/>
    </row>
    <row r="6" customFormat="false" ht="15" hidden="false" customHeight="false" outlineLevel="0" collapsed="false">
      <c r="A6" s="17" t="s">
        <v>70</v>
      </c>
      <c r="B6" s="18" t="s">
        <v>71</v>
      </c>
      <c r="C6" s="18" t="s">
        <v>72</v>
      </c>
      <c r="D6" s="18"/>
    </row>
    <row r="7" customFormat="false" ht="26.85" hidden="false" customHeight="false" outlineLevel="0" collapsed="false">
      <c r="A7" s="17" t="s">
        <v>73</v>
      </c>
      <c r="B7" s="18" t="s">
        <v>74</v>
      </c>
      <c r="C7" s="19" t="s">
        <v>75</v>
      </c>
      <c r="D7" s="18"/>
    </row>
    <row r="8" customFormat="false" ht="26.85" hidden="false" customHeight="false" outlineLevel="0" collapsed="false">
      <c r="A8" s="17" t="s">
        <v>76</v>
      </c>
      <c r="B8" s="18" t="s">
        <v>77</v>
      </c>
      <c r="C8" s="19" t="s">
        <v>78</v>
      </c>
      <c r="D8" s="18"/>
    </row>
    <row r="9" customFormat="false" ht="15" hidden="false" customHeight="false" outlineLevel="0" collapsed="false">
      <c r="A9" s="17" t="s">
        <v>79</v>
      </c>
      <c r="B9" s="18" t="s">
        <v>80</v>
      </c>
      <c r="C9" s="19" t="s">
        <v>81</v>
      </c>
      <c r="D9" s="18"/>
    </row>
    <row r="10" customFormat="false" ht="15" hidden="false" customHeight="false" outlineLevel="0" collapsed="false">
      <c r="A10" s="17" t="s">
        <v>82</v>
      </c>
      <c r="B10" s="18" t="s">
        <v>83</v>
      </c>
      <c r="C10" s="18" t="s">
        <v>84</v>
      </c>
      <c r="D10" s="18"/>
    </row>
    <row r="11" customFormat="false" ht="15" hidden="false" customHeight="false" outlineLevel="0" collapsed="false">
      <c r="A11" s="17" t="s">
        <v>85</v>
      </c>
      <c r="B11" s="18" t="s">
        <v>86</v>
      </c>
      <c r="C11" s="18"/>
      <c r="D11" s="18"/>
    </row>
    <row r="13" customFormat="false" ht="15" hidden="false" customHeight="false" outlineLevel="0" collapsed="false">
      <c r="A13" s="15" t="s">
        <v>87</v>
      </c>
    </row>
    <row r="14" customFormat="false" ht="15" hidden="false" customHeight="false" outlineLevel="0" collapsed="false">
      <c r="A14" s="16" t="s">
        <v>67</v>
      </c>
      <c r="B14" s="16" t="s">
        <v>88</v>
      </c>
      <c r="C14" s="16" t="s">
        <v>89</v>
      </c>
      <c r="D14" s="16" t="s">
        <v>29</v>
      </c>
    </row>
    <row r="15" customFormat="false" ht="15" hidden="false" customHeight="false" outlineLevel="0" collapsed="false">
      <c r="A15" s="17" t="s">
        <v>90</v>
      </c>
      <c r="B15" s="18" t="s">
        <v>91</v>
      </c>
      <c r="C15" s="18" t="s">
        <v>92</v>
      </c>
      <c r="D15" s="18" t="s">
        <v>93</v>
      </c>
    </row>
    <row r="16" customFormat="false" ht="15" hidden="false" customHeight="false" outlineLevel="0" collapsed="false">
      <c r="A16" s="17" t="s">
        <v>94</v>
      </c>
      <c r="B16" s="18" t="s">
        <v>95</v>
      </c>
      <c r="C16" s="18" t="s">
        <v>96</v>
      </c>
      <c r="D16" s="18" t="s">
        <v>97</v>
      </c>
    </row>
    <row r="17" customFormat="false" ht="15" hidden="false" customHeight="false" outlineLevel="0" collapsed="false">
      <c r="A17" s="17" t="s">
        <v>98</v>
      </c>
      <c r="B17" s="18" t="s">
        <v>99</v>
      </c>
      <c r="C17" s="18" t="s">
        <v>100</v>
      </c>
      <c r="D17" s="18" t="s">
        <v>97</v>
      </c>
    </row>
    <row r="18" customFormat="false" ht="15" hidden="false" customHeight="false" outlineLevel="0" collapsed="false">
      <c r="A18" s="17" t="s">
        <v>101</v>
      </c>
      <c r="B18" s="18" t="s">
        <v>102</v>
      </c>
      <c r="C18" s="18" t="s">
        <v>103</v>
      </c>
      <c r="D18" s="18" t="s">
        <v>97</v>
      </c>
    </row>
    <row r="19" customFormat="false" ht="15" hidden="false" customHeight="false" outlineLevel="0" collapsed="false">
      <c r="A19" s="17" t="s">
        <v>104</v>
      </c>
      <c r="B19" s="18" t="s">
        <v>105</v>
      </c>
      <c r="C19" s="18" t="s">
        <v>106</v>
      </c>
      <c r="D19" s="18" t="s">
        <v>93</v>
      </c>
    </row>
    <row r="21" customFormat="false" ht="15" hidden="false" customHeight="false" outlineLevel="0" collapsed="false">
      <c r="A21" s="15" t="s">
        <v>107</v>
      </c>
    </row>
    <row r="22" customFormat="false" ht="15" hidden="false" customHeight="false" outlineLevel="0" collapsed="false">
      <c r="A22" s="16" t="s">
        <v>67</v>
      </c>
      <c r="B22" s="16" t="s">
        <v>108</v>
      </c>
      <c r="C22" s="16"/>
      <c r="D22" s="16"/>
    </row>
    <row r="23" customFormat="false" ht="15" hidden="false" customHeight="false" outlineLevel="0" collapsed="false">
      <c r="A23" s="17" t="s">
        <v>109</v>
      </c>
      <c r="B23" s="18" t="s">
        <v>110</v>
      </c>
      <c r="C23" s="18"/>
      <c r="D23" s="18"/>
    </row>
    <row r="24" customFormat="false" ht="26.85" hidden="false" customHeight="false" outlineLevel="0" collapsed="false">
      <c r="A24" s="17" t="s">
        <v>111</v>
      </c>
      <c r="B24" s="18" t="s">
        <v>112</v>
      </c>
      <c r="C24" s="18"/>
      <c r="D24" s="18"/>
    </row>
    <row r="25" customFormat="false" ht="15" hidden="false" customHeight="false" outlineLevel="0" collapsed="false">
      <c r="A25" s="17" t="s">
        <v>113</v>
      </c>
      <c r="B25" s="18" t="s">
        <v>114</v>
      </c>
      <c r="C25" s="18"/>
      <c r="D25" s="18"/>
    </row>
    <row r="26" customFormat="false" ht="15" hidden="false" customHeight="false" outlineLevel="0" collapsed="false">
      <c r="A26" s="17" t="s">
        <v>115</v>
      </c>
      <c r="B26" s="18" t="s">
        <v>116</v>
      </c>
      <c r="C26" s="18"/>
      <c r="D26" s="18"/>
    </row>
    <row r="27" customFormat="false" ht="15" hidden="false" customHeight="false" outlineLevel="0" collapsed="false">
      <c r="A27" s="20" t="s">
        <v>117</v>
      </c>
      <c r="B27" s="18" t="s">
        <v>118</v>
      </c>
      <c r="C27" s="19" t="s">
        <v>119</v>
      </c>
      <c r="D27" s="18"/>
    </row>
    <row r="28" customFormat="false" ht="15" hidden="false" customHeight="false" outlineLevel="0" collapsed="false">
      <c r="A28" s="20" t="s">
        <v>120</v>
      </c>
      <c r="B28" s="18" t="s">
        <v>121</v>
      </c>
      <c r="C28" s="18" t="s">
        <v>122</v>
      </c>
      <c r="D28" s="18"/>
    </row>
    <row r="29" customFormat="false" ht="26.85" hidden="false" customHeight="false" outlineLevel="0" collapsed="false">
      <c r="A29" s="20" t="s">
        <v>123</v>
      </c>
      <c r="B29" s="18" t="s">
        <v>124</v>
      </c>
      <c r="C29" s="18"/>
      <c r="D29" s="18"/>
    </row>
    <row r="30" customFormat="false" ht="26.85" hidden="false" customHeight="false" outlineLevel="0" collapsed="false">
      <c r="A30" s="20" t="s">
        <v>125</v>
      </c>
      <c r="B30" s="19" t="s">
        <v>126</v>
      </c>
      <c r="C30" s="18" t="s">
        <v>127</v>
      </c>
      <c r="D30" s="18"/>
    </row>
    <row r="32" customFormat="false" ht="15" hidden="false" customHeight="false" outlineLevel="0" collapsed="false">
      <c r="A32" s="15" t="s">
        <v>128</v>
      </c>
    </row>
    <row r="33" customFormat="false" ht="15" hidden="false" customHeight="false" outlineLevel="0" collapsed="false">
      <c r="A33" s="16" t="s">
        <v>129</v>
      </c>
      <c r="B33" s="16" t="s">
        <v>130</v>
      </c>
      <c r="C33" s="16" t="s">
        <v>69</v>
      </c>
      <c r="D33" s="16" t="s">
        <v>131</v>
      </c>
    </row>
    <row r="34" customFormat="false" ht="26.85" hidden="false" customHeight="false" outlineLevel="0" collapsed="false">
      <c r="A34" s="20" t="s">
        <v>132</v>
      </c>
      <c r="B34" s="18" t="s">
        <v>133</v>
      </c>
      <c r="C34" s="18" t="s">
        <v>134</v>
      </c>
      <c r="D34" s="18" t="s">
        <v>135</v>
      </c>
    </row>
    <row r="35" customFormat="false" ht="15" hidden="false" customHeight="false" outlineLevel="0" collapsed="false">
      <c r="A35" s="20" t="s">
        <v>136</v>
      </c>
      <c r="B35" s="18" t="s">
        <v>137</v>
      </c>
      <c r="C35" s="18" t="s">
        <v>138</v>
      </c>
      <c r="D35" s="18" t="s">
        <v>139</v>
      </c>
    </row>
    <row r="36" customFormat="false" ht="15" hidden="false" customHeight="false" outlineLevel="0" collapsed="false">
      <c r="A36" s="20" t="s">
        <v>140</v>
      </c>
      <c r="B36" s="18" t="s">
        <v>141</v>
      </c>
      <c r="C36" s="19" t="s">
        <v>142</v>
      </c>
      <c r="D36" s="1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6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4"/>
    <col collapsed="false" customWidth="true" hidden="false" outlineLevel="0" max="16" min="16" style="0" width="7"/>
    <col collapsed="false" customWidth="true" hidden="false" outlineLevel="0" max="17" min="17" style="0" width="22"/>
  </cols>
  <sheetData>
    <row r="1" customFormat="false" ht="17.15" hidden="false" customHeight="false" outlineLevel="0" collapsed="false">
      <c r="A1" s="13" t="s">
        <v>144</v>
      </c>
    </row>
    <row r="2" customFormat="false" ht="15" hidden="false" customHeight="false" outlineLevel="0" collapsed="false">
      <c r="A2" s="14" t="s">
        <v>145</v>
      </c>
    </row>
    <row r="3" customFormat="false" ht="30" hidden="false" customHeight="true" outlineLevel="0" collapsed="false">
      <c r="A3" s="16" t="s">
        <v>146</v>
      </c>
      <c r="B3" s="16" t="s">
        <v>147</v>
      </c>
      <c r="C3" s="16" t="s">
        <v>148</v>
      </c>
      <c r="D3" s="16" t="s">
        <v>149</v>
      </c>
      <c r="E3" s="16" t="s">
        <v>150</v>
      </c>
      <c r="F3" s="16" t="s">
        <v>151</v>
      </c>
      <c r="G3" s="16" t="s">
        <v>152</v>
      </c>
      <c r="H3" s="16" t="s">
        <v>153</v>
      </c>
      <c r="I3" s="16" t="s">
        <v>154</v>
      </c>
      <c r="J3" s="16" t="s">
        <v>155</v>
      </c>
      <c r="K3" s="16" t="s">
        <v>156</v>
      </c>
      <c r="L3" s="16" t="s">
        <v>157</v>
      </c>
      <c r="M3" s="16" t="s">
        <v>29</v>
      </c>
      <c r="N3" s="16" t="s">
        <v>27</v>
      </c>
      <c r="O3" s="16" t="s">
        <v>33</v>
      </c>
      <c r="P3" s="16" t="s">
        <v>35</v>
      </c>
      <c r="Q3" s="16" t="s">
        <v>158</v>
      </c>
    </row>
    <row r="4" customFormat="false" ht="26.85" hidden="false" customHeight="false" outlineLevel="0" collapsed="false">
      <c r="A4" s="21" t="s">
        <v>159</v>
      </c>
      <c r="B4" s="21" t="s">
        <v>160</v>
      </c>
      <c r="C4" s="21" t="s">
        <v>161</v>
      </c>
      <c r="D4" s="21" t="s">
        <v>162</v>
      </c>
      <c r="E4" s="22" t="s">
        <v>163</v>
      </c>
      <c r="F4" s="21" t="s">
        <v>164</v>
      </c>
      <c r="G4" s="21" t="s">
        <v>165</v>
      </c>
      <c r="H4" s="22" t="s">
        <v>166</v>
      </c>
      <c r="I4" s="21" t="s">
        <v>167</v>
      </c>
      <c r="J4" s="21" t="s">
        <v>168</v>
      </c>
      <c r="K4" s="21" t="s">
        <v>169</v>
      </c>
      <c r="L4" s="22" t="s">
        <v>94</v>
      </c>
      <c r="M4" s="21" t="s">
        <v>97</v>
      </c>
      <c r="N4" s="21" t="s">
        <v>170</v>
      </c>
      <c r="O4" s="22" t="s">
        <v>171</v>
      </c>
      <c r="P4" s="21" t="s">
        <v>172</v>
      </c>
      <c r="Q4" s="21"/>
    </row>
    <row r="5" customFormat="false" ht="26.85" hidden="false" customHeight="false" outlineLevel="0" collapsed="false">
      <c r="A5" s="21" t="s">
        <v>159</v>
      </c>
      <c r="B5" s="21" t="s">
        <v>160</v>
      </c>
      <c r="C5" s="21" t="s">
        <v>161</v>
      </c>
      <c r="D5" s="21" t="s">
        <v>162</v>
      </c>
      <c r="E5" s="22" t="s">
        <v>163</v>
      </c>
      <c r="F5" s="21" t="s">
        <v>164</v>
      </c>
      <c r="G5" s="21" t="s">
        <v>165</v>
      </c>
      <c r="H5" s="22" t="s">
        <v>173</v>
      </c>
      <c r="I5" s="21" t="s">
        <v>174</v>
      </c>
      <c r="J5" s="21" t="s">
        <v>175</v>
      </c>
      <c r="K5" s="21" t="s">
        <v>176</v>
      </c>
      <c r="L5" s="22" t="s">
        <v>94</v>
      </c>
      <c r="M5" s="21" t="s">
        <v>97</v>
      </c>
      <c r="N5" s="21" t="s">
        <v>176</v>
      </c>
      <c r="O5" s="22" t="s">
        <v>177</v>
      </c>
      <c r="P5" s="21" t="s">
        <v>172</v>
      </c>
      <c r="Q5" s="21"/>
    </row>
    <row r="6" customFormat="false" ht="15" hidden="false" customHeight="false" outlineLevel="0" collapsed="false">
      <c r="A6" s="23" t="s">
        <v>159</v>
      </c>
      <c r="B6" s="24"/>
      <c r="C6" s="24"/>
      <c r="D6" s="24"/>
      <c r="E6" s="24"/>
      <c r="F6" s="24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customFormat="false" ht="15" hidden="false" customHeight="false" outlineLevel="0" collapsed="false">
      <c r="A7" s="23" t="s">
        <v>159</v>
      </c>
      <c r="B7" s="24"/>
      <c r="C7" s="24"/>
      <c r="D7" s="24"/>
      <c r="E7" s="24"/>
      <c r="F7" s="24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customFormat="false" ht="15" hidden="false" customHeight="false" outlineLevel="0" collapsed="false">
      <c r="A8" s="23" t="s">
        <v>159</v>
      </c>
      <c r="B8" s="24"/>
      <c r="C8" s="24"/>
      <c r="D8" s="24"/>
      <c r="E8" s="24"/>
      <c r="F8" s="24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customFormat="false" ht="15" hidden="false" customHeight="false" outlineLevel="0" collapsed="false">
      <c r="A9" s="23" t="s">
        <v>159</v>
      </c>
      <c r="B9" s="24"/>
      <c r="C9" s="24"/>
      <c r="D9" s="24"/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customFormat="false" ht="15" hidden="false" customHeight="false" outlineLevel="0" collapsed="false">
      <c r="A10" s="23" t="s">
        <v>159</v>
      </c>
      <c r="B10" s="24"/>
      <c r="C10" s="24"/>
      <c r="D10" s="24"/>
      <c r="E10" s="24"/>
      <c r="F10" s="24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customFormat="false" ht="15" hidden="false" customHeight="false" outlineLevel="0" collapsed="false">
      <c r="A11" s="23" t="s">
        <v>159</v>
      </c>
      <c r="B11" s="24"/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customFormat="false" ht="15" hidden="false" customHeight="false" outlineLevel="0" collapsed="false">
      <c r="A12" s="23" t="s">
        <v>159</v>
      </c>
      <c r="B12" s="24"/>
      <c r="C12" s="24"/>
      <c r="D12" s="24"/>
      <c r="E12" s="24"/>
      <c r="F12" s="24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customFormat="false" ht="15" hidden="false" customHeight="false" outlineLevel="0" collapsed="false">
      <c r="A13" s="23" t="s">
        <v>159</v>
      </c>
      <c r="B13" s="24"/>
      <c r="C13" s="24"/>
      <c r="D13" s="24"/>
      <c r="E13" s="24"/>
      <c r="F13" s="24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customFormat="false" ht="15" hidden="false" customHeight="false" outlineLevel="0" collapsed="false">
      <c r="A14" s="23" t="s">
        <v>159</v>
      </c>
      <c r="B14" s="24"/>
      <c r="C14" s="24"/>
      <c r="D14" s="24"/>
      <c r="E14" s="24"/>
      <c r="F14" s="24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customFormat="false" ht="15" hidden="false" customHeight="false" outlineLevel="0" collapsed="false">
      <c r="A15" s="23" t="s">
        <v>159</v>
      </c>
      <c r="B15" s="24"/>
      <c r="C15" s="24"/>
      <c r="D15" s="24"/>
      <c r="E15" s="24"/>
      <c r="F15" s="24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customFormat="false" ht="15" hidden="false" customHeight="false" outlineLevel="0" collapsed="false">
      <c r="A16" s="23" t="s">
        <v>159</v>
      </c>
      <c r="B16" s="24"/>
      <c r="C16" s="24"/>
      <c r="D16" s="24"/>
      <c r="E16" s="24"/>
      <c r="F16" s="24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customFormat="false" ht="15" hidden="false" customHeight="false" outlineLevel="0" collapsed="false">
      <c r="A17" s="23" t="s">
        <v>159</v>
      </c>
      <c r="B17" s="24"/>
      <c r="C17" s="24"/>
      <c r="D17" s="24"/>
      <c r="E17" s="24"/>
      <c r="F17" s="24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customFormat="false" ht="15" hidden="false" customHeight="false" outlineLevel="0" collapsed="false">
      <c r="A18" s="23" t="s">
        <v>159</v>
      </c>
      <c r="B18" s="24"/>
      <c r="C18" s="24"/>
      <c r="D18" s="24"/>
      <c r="E18" s="24"/>
      <c r="F18" s="24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customFormat="false" ht="15" hidden="false" customHeight="false" outlineLevel="0" collapsed="false">
      <c r="A19" s="23" t="s">
        <v>159</v>
      </c>
      <c r="B19" s="24"/>
      <c r="C19" s="24"/>
      <c r="D19" s="24"/>
      <c r="E19" s="24"/>
      <c r="F19" s="24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customFormat="false" ht="15" hidden="false" customHeight="false" outlineLevel="0" collapsed="false">
      <c r="A20" s="23" t="s">
        <v>159</v>
      </c>
      <c r="B20" s="24"/>
      <c r="C20" s="24"/>
      <c r="D20" s="24"/>
      <c r="E20" s="24"/>
      <c r="F20" s="24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customFormat="false" ht="15" hidden="false" customHeight="false" outlineLevel="0" collapsed="false">
      <c r="A21" s="23" t="s">
        <v>159</v>
      </c>
      <c r="B21" s="24"/>
      <c r="C21" s="24"/>
      <c r="D21" s="24"/>
      <c r="E21" s="24"/>
      <c r="F21" s="24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customFormat="false" ht="15" hidden="false" customHeight="false" outlineLevel="0" collapsed="false">
      <c r="A22" s="23" t="s">
        <v>159</v>
      </c>
      <c r="B22" s="24"/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customFormat="false" ht="15" hidden="false" customHeight="false" outlineLevel="0" collapsed="false">
      <c r="A23" s="23" t="s">
        <v>159</v>
      </c>
      <c r="B23" s="24"/>
      <c r="C23" s="24"/>
      <c r="D23" s="24"/>
      <c r="E23" s="24"/>
      <c r="F23" s="24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customFormat="false" ht="15" hidden="false" customHeight="false" outlineLevel="0" collapsed="false">
      <c r="A24" s="23" t="s">
        <v>159</v>
      </c>
      <c r="B24" s="24"/>
      <c r="C24" s="24"/>
      <c r="D24" s="24"/>
      <c r="E24" s="24"/>
      <c r="F24" s="24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customFormat="false" ht="15" hidden="false" customHeight="false" outlineLevel="0" collapsed="false">
      <c r="A25" s="23" t="s">
        <v>159</v>
      </c>
      <c r="B25" s="24"/>
      <c r="C25" s="24"/>
      <c r="D25" s="24"/>
      <c r="E25" s="24"/>
      <c r="F25" s="24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customFormat="false" ht="15" hidden="false" customHeight="false" outlineLevel="0" collapsed="false">
      <c r="A26" s="23" t="s">
        <v>159</v>
      </c>
      <c r="B26" s="24"/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customFormat="false" ht="15" hidden="false" customHeight="false" outlineLevel="0" collapsed="false">
      <c r="A27" s="23" t="s">
        <v>159</v>
      </c>
      <c r="B27" s="24"/>
      <c r="C27" s="24"/>
      <c r="D27" s="24"/>
      <c r="E27" s="24"/>
      <c r="F27" s="24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customFormat="false" ht="15" hidden="false" customHeight="false" outlineLevel="0" collapsed="false">
      <c r="A28" s="23" t="s">
        <v>159</v>
      </c>
      <c r="B28" s="24"/>
      <c r="C28" s="24"/>
      <c r="D28" s="24"/>
      <c r="E28" s="24"/>
      <c r="F28" s="24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customFormat="false" ht="15" hidden="false" customHeight="false" outlineLevel="0" collapsed="false">
      <c r="A29" s="23" t="s">
        <v>159</v>
      </c>
      <c r="B29" s="24"/>
      <c r="C29" s="24"/>
      <c r="D29" s="24"/>
      <c r="E29" s="24"/>
      <c r="F29" s="24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customFormat="false" ht="15" hidden="false" customHeight="false" outlineLevel="0" collapsed="false">
      <c r="A30" s="23" t="s">
        <v>159</v>
      </c>
      <c r="B30" s="24"/>
      <c r="C30" s="24"/>
      <c r="D30" s="24"/>
      <c r="E30" s="24"/>
      <c r="F30" s="24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customFormat="false" ht="15" hidden="false" customHeight="false" outlineLevel="0" collapsed="false">
      <c r="A31" s="23" t="s">
        <v>159</v>
      </c>
      <c r="B31" s="24"/>
      <c r="C31" s="24"/>
      <c r="D31" s="24"/>
      <c r="E31" s="24"/>
      <c r="F31" s="24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customFormat="false" ht="15" hidden="false" customHeight="false" outlineLevel="0" collapsed="false">
      <c r="A32" s="23" t="s">
        <v>159</v>
      </c>
      <c r="B32" s="24"/>
      <c r="C32" s="24"/>
      <c r="D32" s="24"/>
      <c r="E32" s="24"/>
      <c r="F32" s="24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customFormat="false" ht="15" hidden="false" customHeight="false" outlineLevel="0" collapsed="false">
      <c r="A33" s="23" t="s">
        <v>159</v>
      </c>
      <c r="B33" s="24"/>
      <c r="C33" s="24"/>
      <c r="D33" s="24"/>
      <c r="E33" s="24"/>
      <c r="F33" s="24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customFormat="false" ht="15" hidden="false" customHeight="false" outlineLevel="0" collapsed="false">
      <c r="A34" s="23" t="s">
        <v>159</v>
      </c>
      <c r="B34" s="24"/>
      <c r="C34" s="24"/>
      <c r="D34" s="24"/>
      <c r="E34" s="24"/>
      <c r="F34" s="24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customFormat="false" ht="15" hidden="false" customHeight="false" outlineLevel="0" collapsed="false">
      <c r="A35" s="23" t="s">
        <v>159</v>
      </c>
      <c r="B35" s="24"/>
      <c r="C35" s="24"/>
      <c r="D35" s="24"/>
      <c r="E35" s="24"/>
      <c r="F35" s="24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customFormat="false" ht="15" hidden="false" customHeight="false" outlineLevel="0" collapsed="false">
      <c r="A36" s="23" t="s">
        <v>159</v>
      </c>
      <c r="B36" s="24"/>
      <c r="C36" s="24"/>
      <c r="D36" s="24"/>
      <c r="E36" s="24"/>
      <c r="F36" s="24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customFormat="false" ht="15" hidden="false" customHeight="false" outlineLevel="0" collapsed="false">
      <c r="A37" s="23" t="s">
        <v>159</v>
      </c>
      <c r="B37" s="24"/>
      <c r="C37" s="24"/>
      <c r="D37" s="24"/>
      <c r="E37" s="24"/>
      <c r="F37" s="24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customFormat="false" ht="15" hidden="false" customHeight="false" outlineLevel="0" collapsed="false">
      <c r="A38" s="23" t="s">
        <v>159</v>
      </c>
      <c r="B38" s="24"/>
      <c r="C38" s="24"/>
      <c r="D38" s="24"/>
      <c r="E38" s="24"/>
      <c r="F38" s="24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customFormat="false" ht="15" hidden="false" customHeight="false" outlineLevel="0" collapsed="false">
      <c r="A39" s="23" t="s">
        <v>159</v>
      </c>
      <c r="B39" s="24"/>
      <c r="C39" s="24"/>
      <c r="D39" s="24"/>
      <c r="E39" s="24"/>
      <c r="F39" s="24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customFormat="false" ht="15" hidden="false" customHeight="false" outlineLevel="0" collapsed="false">
      <c r="A40" s="23" t="s">
        <v>159</v>
      </c>
      <c r="B40" s="24"/>
      <c r="C40" s="24"/>
      <c r="D40" s="24"/>
      <c r="E40" s="24"/>
      <c r="F40" s="24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customFormat="false" ht="15" hidden="false" customHeight="false" outlineLevel="0" collapsed="false">
      <c r="A41" s="23" t="s">
        <v>159</v>
      </c>
      <c r="B41" s="24"/>
      <c r="C41" s="24"/>
      <c r="D41" s="24"/>
      <c r="E41" s="24"/>
      <c r="F41" s="24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customFormat="false" ht="15" hidden="false" customHeight="false" outlineLevel="0" collapsed="false">
      <c r="A42" s="23" t="s">
        <v>159</v>
      </c>
      <c r="B42" s="24"/>
      <c r="C42" s="24"/>
      <c r="D42" s="24"/>
      <c r="E42" s="24"/>
      <c r="F42" s="24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customFormat="false" ht="15" hidden="false" customHeight="false" outlineLevel="0" collapsed="false">
      <c r="A43" s="23" t="s">
        <v>159</v>
      </c>
      <c r="B43" s="24"/>
      <c r="C43" s="24"/>
      <c r="D43" s="24"/>
      <c r="E43" s="24"/>
      <c r="F43" s="24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customFormat="false" ht="15" hidden="false" customHeight="false" outlineLevel="0" collapsed="false">
      <c r="A44" s="23" t="s">
        <v>159</v>
      </c>
      <c r="B44" s="24"/>
      <c r="C44" s="24"/>
      <c r="D44" s="24"/>
      <c r="E44" s="24"/>
      <c r="F44" s="24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customFormat="false" ht="15" hidden="false" customHeight="false" outlineLevel="0" collapsed="false">
      <c r="A45" s="23" t="s">
        <v>159</v>
      </c>
      <c r="B45" s="24"/>
      <c r="C45" s="24"/>
      <c r="D45" s="24"/>
      <c r="E45" s="24"/>
      <c r="F45" s="24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customFormat="false" ht="15" hidden="false" customHeight="false" outlineLevel="0" collapsed="false">
      <c r="A46" s="23" t="s">
        <v>159</v>
      </c>
      <c r="B46" s="24"/>
      <c r="C46" s="24"/>
      <c r="D46" s="24"/>
      <c r="E46" s="24"/>
      <c r="F46" s="24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customFormat="false" ht="15" hidden="false" customHeight="false" outlineLevel="0" collapsed="false">
      <c r="A47" s="23" t="s">
        <v>159</v>
      </c>
      <c r="B47" s="24"/>
      <c r="C47" s="24"/>
      <c r="D47" s="24"/>
      <c r="E47" s="24"/>
      <c r="F47" s="24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customFormat="false" ht="15" hidden="false" customHeight="false" outlineLevel="0" collapsed="false">
      <c r="A48" s="23" t="s">
        <v>159</v>
      </c>
      <c r="B48" s="24"/>
      <c r="C48" s="24"/>
      <c r="D48" s="24"/>
      <c r="E48" s="24"/>
      <c r="F48" s="24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customFormat="false" ht="15" hidden="false" customHeight="false" outlineLevel="0" collapsed="false">
      <c r="A49" s="23" t="s">
        <v>159</v>
      </c>
      <c r="B49" s="24"/>
      <c r="C49" s="24"/>
      <c r="D49" s="24"/>
      <c r="E49" s="24"/>
      <c r="F49" s="24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customFormat="false" ht="15" hidden="false" customHeight="false" outlineLevel="0" collapsed="false">
      <c r="A50" s="23" t="s">
        <v>159</v>
      </c>
      <c r="B50" s="24"/>
      <c r="C50" s="24"/>
      <c r="D50" s="24"/>
      <c r="E50" s="24"/>
      <c r="F50" s="24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customFormat="false" ht="15" hidden="false" customHeight="false" outlineLevel="0" collapsed="false">
      <c r="A51" s="23" t="s">
        <v>159</v>
      </c>
      <c r="B51" s="24"/>
      <c r="C51" s="24"/>
      <c r="D51" s="24"/>
      <c r="E51" s="24"/>
      <c r="F51" s="24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customFormat="false" ht="15" hidden="false" customHeight="false" outlineLevel="0" collapsed="false">
      <c r="A52" s="23" t="s">
        <v>159</v>
      </c>
      <c r="B52" s="24"/>
      <c r="C52" s="24"/>
      <c r="D52" s="24"/>
      <c r="E52" s="24"/>
      <c r="F52" s="24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customFormat="false" ht="15" hidden="false" customHeight="false" outlineLevel="0" collapsed="false">
      <c r="A53" s="23" t="s">
        <v>159</v>
      </c>
      <c r="B53" s="24"/>
      <c r="C53" s="24"/>
      <c r="D53" s="24"/>
      <c r="E53" s="24"/>
      <c r="F53" s="24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customFormat="false" ht="15" hidden="false" customHeight="false" outlineLevel="0" collapsed="false">
      <c r="A54" s="23" t="s">
        <v>159</v>
      </c>
      <c r="B54" s="24"/>
      <c r="C54" s="24"/>
      <c r="D54" s="24"/>
      <c r="E54" s="24"/>
      <c r="F54" s="24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customFormat="false" ht="15" hidden="false" customHeight="false" outlineLevel="0" collapsed="false">
      <c r="A55" s="23" t="s">
        <v>159</v>
      </c>
      <c r="B55" s="24"/>
      <c r="C55" s="24"/>
      <c r="D55" s="24"/>
      <c r="E55" s="24"/>
      <c r="F55" s="24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customFormat="false" ht="15" hidden="false" customHeight="false" outlineLevel="0" collapsed="false">
      <c r="A56" s="23" t="s">
        <v>159</v>
      </c>
      <c r="B56" s="24"/>
      <c r="C56" s="24"/>
      <c r="D56" s="24"/>
      <c r="E56" s="24"/>
      <c r="F56" s="24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customFormat="false" ht="15" hidden="false" customHeight="false" outlineLevel="0" collapsed="false">
      <c r="A57" s="23" t="s">
        <v>159</v>
      </c>
      <c r="B57" s="24"/>
      <c r="C57" s="24"/>
      <c r="D57" s="24"/>
      <c r="E57" s="24"/>
      <c r="F57" s="24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customFormat="false" ht="15" hidden="false" customHeight="false" outlineLevel="0" collapsed="false">
      <c r="A58" s="23" t="s">
        <v>159</v>
      </c>
      <c r="B58" s="24"/>
      <c r="C58" s="24"/>
      <c r="D58" s="24"/>
      <c r="E58" s="24"/>
      <c r="F58" s="24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customFormat="false" ht="15" hidden="false" customHeight="false" outlineLevel="0" collapsed="false">
      <c r="A59" s="23" t="s">
        <v>159</v>
      </c>
      <c r="B59" s="24"/>
      <c r="C59" s="24"/>
      <c r="D59" s="24"/>
      <c r="E59" s="24"/>
      <c r="F59" s="24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customFormat="false" ht="15" hidden="false" customHeight="false" outlineLevel="0" collapsed="false">
      <c r="A60" s="23" t="s">
        <v>159</v>
      </c>
      <c r="B60" s="24"/>
      <c r="C60" s="24"/>
      <c r="D60" s="24"/>
      <c r="E60" s="24"/>
      <c r="F60" s="24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customFormat="false" ht="15" hidden="false" customHeight="false" outlineLevel="0" collapsed="false">
      <c r="A61" s="23" t="s">
        <v>159</v>
      </c>
      <c r="B61" s="24"/>
      <c r="C61" s="24"/>
      <c r="D61" s="24"/>
      <c r="E61" s="24"/>
      <c r="F61" s="24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customFormat="false" ht="15" hidden="false" customHeight="false" outlineLevel="0" collapsed="false">
      <c r="A62" s="23" t="s">
        <v>159</v>
      </c>
      <c r="B62" s="24"/>
      <c r="C62" s="24"/>
      <c r="D62" s="24"/>
      <c r="E62" s="24"/>
      <c r="F62" s="24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customFormat="false" ht="15" hidden="false" customHeight="false" outlineLevel="0" collapsed="false">
      <c r="A63" s="23" t="s">
        <v>159</v>
      </c>
      <c r="B63" s="24"/>
      <c r="C63" s="24"/>
      <c r="D63" s="24"/>
      <c r="E63" s="24"/>
      <c r="F63" s="24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customFormat="false" ht="15" hidden="false" customHeight="false" outlineLevel="0" collapsed="false">
      <c r="A64" s="23" t="s">
        <v>159</v>
      </c>
      <c r="B64" s="24"/>
      <c r="C64" s="24"/>
      <c r="D64" s="24"/>
      <c r="E64" s="24"/>
      <c r="F64" s="24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customFormat="false" ht="15" hidden="false" customHeight="false" outlineLevel="0" collapsed="false">
      <c r="A65" s="23" t="s">
        <v>159</v>
      </c>
      <c r="B65" s="24"/>
      <c r="C65" s="24"/>
      <c r="D65" s="24"/>
      <c r="E65" s="24"/>
      <c r="F65" s="24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customFormat="false" ht="15" hidden="false" customHeight="false" outlineLevel="0" collapsed="false">
      <c r="A66" s="23" t="s">
        <v>159</v>
      </c>
      <c r="B66" s="24"/>
      <c r="C66" s="24"/>
      <c r="D66" s="24"/>
      <c r="E66" s="24"/>
      <c r="F66" s="24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 customFormat="false" ht="15" hidden="false" customHeight="false" outlineLevel="0" collapsed="false">
      <c r="A67" s="23" t="s">
        <v>159</v>
      </c>
      <c r="B67" s="24"/>
      <c r="C67" s="24"/>
      <c r="D67" s="24"/>
      <c r="E67" s="24"/>
      <c r="F67" s="24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customFormat="false" ht="15" hidden="false" customHeight="false" outlineLevel="0" collapsed="false">
      <c r="A68" s="23" t="s">
        <v>159</v>
      </c>
      <c r="B68" s="24"/>
      <c r="C68" s="24"/>
      <c r="D68" s="24"/>
      <c r="E68" s="24"/>
      <c r="F68" s="24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 customFormat="false" ht="15" hidden="false" customHeight="false" outlineLevel="0" collapsed="false">
      <c r="A69" s="23" t="s">
        <v>159</v>
      </c>
      <c r="B69" s="24"/>
      <c r="C69" s="24"/>
      <c r="D69" s="24"/>
      <c r="E69" s="24"/>
      <c r="F69" s="24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customFormat="false" ht="15" hidden="false" customHeight="false" outlineLevel="0" collapsed="false">
      <c r="A70" s="23" t="s">
        <v>159</v>
      </c>
      <c r="B70" s="24"/>
      <c r="C70" s="24"/>
      <c r="D70" s="24"/>
      <c r="E70" s="24"/>
      <c r="F70" s="24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customFormat="false" ht="15" hidden="false" customHeight="false" outlineLevel="0" collapsed="false">
      <c r="A71" s="23" t="s">
        <v>159</v>
      </c>
      <c r="B71" s="24"/>
      <c r="C71" s="24"/>
      <c r="D71" s="24"/>
      <c r="E71" s="24"/>
      <c r="F71" s="24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customFormat="false" ht="15" hidden="false" customHeight="false" outlineLevel="0" collapsed="false">
      <c r="A72" s="23" t="s">
        <v>159</v>
      </c>
      <c r="B72" s="24"/>
      <c r="C72" s="24"/>
      <c r="D72" s="24"/>
      <c r="E72" s="24"/>
      <c r="F72" s="24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</row>
    <row r="73" customFormat="false" ht="15" hidden="false" customHeight="false" outlineLevel="0" collapsed="false">
      <c r="A73" s="23" t="s">
        <v>159</v>
      </c>
      <c r="B73" s="24"/>
      <c r="C73" s="24"/>
      <c r="D73" s="24"/>
      <c r="E73" s="24"/>
      <c r="F73" s="24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customFormat="false" ht="15" hidden="false" customHeight="false" outlineLevel="0" collapsed="false">
      <c r="A74" s="23" t="s">
        <v>159</v>
      </c>
      <c r="B74" s="24"/>
      <c r="C74" s="24"/>
      <c r="D74" s="24"/>
      <c r="E74" s="24"/>
      <c r="F74" s="24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customFormat="false" ht="15" hidden="false" customHeight="false" outlineLevel="0" collapsed="false">
      <c r="A75" s="23" t="s">
        <v>159</v>
      </c>
      <c r="B75" s="24"/>
      <c r="C75" s="24"/>
      <c r="D75" s="24"/>
      <c r="E75" s="24"/>
      <c r="F75" s="24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</row>
    <row r="76" customFormat="false" ht="15" hidden="false" customHeight="false" outlineLevel="0" collapsed="false">
      <c r="A76" s="23" t="s">
        <v>159</v>
      </c>
      <c r="B76" s="24"/>
      <c r="C76" s="24"/>
      <c r="D76" s="24"/>
      <c r="E76" s="24"/>
      <c r="F76" s="24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customFormat="false" ht="15" hidden="false" customHeight="false" outlineLevel="0" collapsed="false">
      <c r="A77" s="23" t="s">
        <v>159</v>
      </c>
      <c r="B77" s="24"/>
      <c r="C77" s="24"/>
      <c r="D77" s="24"/>
      <c r="E77" s="24"/>
      <c r="F77" s="24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 customFormat="false" ht="15" hidden="false" customHeight="false" outlineLevel="0" collapsed="false">
      <c r="A78" s="23" t="s">
        <v>159</v>
      </c>
      <c r="B78" s="24"/>
      <c r="C78" s="24"/>
      <c r="D78" s="24"/>
      <c r="E78" s="24"/>
      <c r="F78" s="24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 customFormat="false" ht="15" hidden="false" customHeight="false" outlineLevel="0" collapsed="false">
      <c r="A79" s="23" t="s">
        <v>159</v>
      </c>
      <c r="B79" s="24"/>
      <c r="C79" s="24"/>
      <c r="D79" s="24"/>
      <c r="E79" s="24"/>
      <c r="F79" s="24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 customFormat="false" ht="15" hidden="false" customHeight="false" outlineLevel="0" collapsed="false">
      <c r="A80" s="23" t="s">
        <v>159</v>
      </c>
      <c r="B80" s="24"/>
      <c r="C80" s="24"/>
      <c r="D80" s="24"/>
      <c r="E80" s="24"/>
      <c r="F80" s="24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 customFormat="false" ht="15" hidden="false" customHeight="false" outlineLevel="0" collapsed="false">
      <c r="A81" s="23" t="s">
        <v>159</v>
      </c>
      <c r="B81" s="24"/>
      <c r="C81" s="24"/>
      <c r="D81" s="24"/>
      <c r="E81" s="24"/>
      <c r="F81" s="24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</row>
    <row r="82" customFormat="false" ht="15" hidden="false" customHeight="false" outlineLevel="0" collapsed="false">
      <c r="A82" s="23" t="s">
        <v>159</v>
      </c>
      <c r="B82" s="24"/>
      <c r="C82" s="24"/>
      <c r="D82" s="24"/>
      <c r="E82" s="24"/>
      <c r="F82" s="24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 customFormat="false" ht="15" hidden="false" customHeight="false" outlineLevel="0" collapsed="false">
      <c r="A83" s="23" t="s">
        <v>159</v>
      </c>
      <c r="B83" s="24"/>
      <c r="C83" s="24"/>
      <c r="D83" s="24"/>
      <c r="E83" s="24"/>
      <c r="F83" s="24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</row>
    <row r="84" customFormat="false" ht="15" hidden="false" customHeight="false" outlineLevel="0" collapsed="false">
      <c r="A84" s="23" t="s">
        <v>159</v>
      </c>
      <c r="B84" s="24"/>
      <c r="C84" s="24"/>
      <c r="D84" s="24"/>
      <c r="E84" s="24"/>
      <c r="F84" s="24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</row>
    <row r="85" customFormat="false" ht="15" hidden="false" customHeight="false" outlineLevel="0" collapsed="false">
      <c r="A85" s="23" t="s">
        <v>159</v>
      </c>
      <c r="B85" s="24"/>
      <c r="C85" s="24"/>
      <c r="D85" s="24"/>
      <c r="E85" s="24"/>
      <c r="F85" s="24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</row>
    <row r="86" customFormat="false" ht="15" hidden="false" customHeight="false" outlineLevel="0" collapsed="false">
      <c r="A86" s="23" t="s">
        <v>159</v>
      </c>
      <c r="B86" s="24"/>
      <c r="C86" s="24"/>
      <c r="D86" s="24"/>
      <c r="E86" s="24"/>
      <c r="F86" s="24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</row>
    <row r="87" customFormat="false" ht="15" hidden="false" customHeight="false" outlineLevel="0" collapsed="false">
      <c r="A87" s="23" t="s">
        <v>159</v>
      </c>
      <c r="B87" s="24"/>
      <c r="C87" s="24"/>
      <c r="D87" s="24"/>
      <c r="E87" s="24"/>
      <c r="F87" s="24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 customFormat="false" ht="15" hidden="false" customHeight="false" outlineLevel="0" collapsed="false">
      <c r="A88" s="23" t="s">
        <v>159</v>
      </c>
      <c r="B88" s="24"/>
      <c r="C88" s="24"/>
      <c r="D88" s="24"/>
      <c r="E88" s="24"/>
      <c r="F88" s="24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</row>
    <row r="89" customFormat="false" ht="15" hidden="false" customHeight="false" outlineLevel="0" collapsed="false">
      <c r="A89" s="23" t="s">
        <v>159</v>
      </c>
      <c r="B89" s="24"/>
      <c r="C89" s="24"/>
      <c r="D89" s="24"/>
      <c r="E89" s="24"/>
      <c r="F89" s="24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</row>
    <row r="90" customFormat="false" ht="15" hidden="false" customHeight="false" outlineLevel="0" collapsed="false">
      <c r="A90" s="23" t="s">
        <v>159</v>
      </c>
      <c r="B90" s="24"/>
      <c r="C90" s="24"/>
      <c r="D90" s="24"/>
      <c r="E90" s="24"/>
      <c r="F90" s="24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</row>
    <row r="91" customFormat="false" ht="15" hidden="false" customHeight="false" outlineLevel="0" collapsed="false">
      <c r="A91" s="23" t="s">
        <v>159</v>
      </c>
      <c r="B91" s="24"/>
      <c r="C91" s="24"/>
      <c r="D91" s="24"/>
      <c r="E91" s="24"/>
      <c r="F91" s="24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</row>
    <row r="92" customFormat="false" ht="15" hidden="false" customHeight="false" outlineLevel="0" collapsed="false">
      <c r="A92" s="23" t="s">
        <v>159</v>
      </c>
      <c r="B92" s="24"/>
      <c r="C92" s="24"/>
      <c r="D92" s="24"/>
      <c r="E92" s="24"/>
      <c r="F92" s="24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</row>
    <row r="93" customFormat="false" ht="15" hidden="false" customHeight="false" outlineLevel="0" collapsed="false">
      <c r="A93" s="23" t="s">
        <v>159</v>
      </c>
      <c r="B93" s="24"/>
      <c r="C93" s="24"/>
      <c r="D93" s="24"/>
      <c r="E93" s="24"/>
      <c r="F93" s="24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 customFormat="false" ht="15" hidden="false" customHeight="false" outlineLevel="0" collapsed="false">
      <c r="A94" s="23" t="s">
        <v>159</v>
      </c>
      <c r="B94" s="24"/>
      <c r="C94" s="24"/>
      <c r="D94" s="24"/>
      <c r="E94" s="24"/>
      <c r="F94" s="24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</row>
    <row r="95" customFormat="false" ht="15" hidden="false" customHeight="false" outlineLevel="0" collapsed="false">
      <c r="A95" s="23" t="s">
        <v>159</v>
      </c>
      <c r="B95" s="24"/>
      <c r="C95" s="24"/>
      <c r="D95" s="24"/>
      <c r="E95" s="24"/>
      <c r="F95" s="24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</row>
    <row r="96" customFormat="false" ht="15" hidden="false" customHeight="false" outlineLevel="0" collapsed="false">
      <c r="A96" s="23" t="s">
        <v>159</v>
      </c>
      <c r="B96" s="24"/>
      <c r="C96" s="24"/>
      <c r="D96" s="24"/>
      <c r="E96" s="24"/>
      <c r="F96" s="24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</row>
    <row r="97" customFormat="false" ht="15" hidden="false" customHeight="false" outlineLevel="0" collapsed="false">
      <c r="A97" s="23" t="s">
        <v>159</v>
      </c>
      <c r="B97" s="24"/>
      <c r="C97" s="24"/>
      <c r="D97" s="24"/>
      <c r="E97" s="24"/>
      <c r="F97" s="24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 customFormat="false" ht="15" hidden="false" customHeight="false" outlineLevel="0" collapsed="false">
      <c r="A98" s="23" t="s">
        <v>159</v>
      </c>
      <c r="B98" s="24"/>
      <c r="C98" s="24"/>
      <c r="D98" s="24"/>
      <c r="E98" s="24"/>
      <c r="F98" s="24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customFormat="false" ht="15" hidden="false" customHeight="false" outlineLevel="0" collapsed="false">
      <c r="A99" s="23" t="s">
        <v>159</v>
      </c>
      <c r="B99" s="24"/>
      <c r="C99" s="24"/>
      <c r="D99" s="24"/>
      <c r="E99" s="24"/>
      <c r="F99" s="24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customFormat="false" ht="15" hidden="false" customHeight="false" outlineLevel="0" collapsed="false">
      <c r="A100" s="23" t="s">
        <v>159</v>
      </c>
      <c r="B100" s="24"/>
      <c r="C100" s="24"/>
      <c r="D100" s="24"/>
      <c r="E100" s="24"/>
      <c r="F100" s="24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 customFormat="false" ht="15" hidden="false" customHeight="false" outlineLevel="0" collapsed="false">
      <c r="A101" s="23" t="s">
        <v>159</v>
      </c>
      <c r="B101" s="24"/>
      <c r="C101" s="24"/>
      <c r="D101" s="24"/>
      <c r="E101" s="24"/>
      <c r="F101" s="24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customFormat="false" ht="15" hidden="false" customHeight="false" outlineLevel="0" collapsed="false">
      <c r="A102" s="23" t="s">
        <v>159</v>
      </c>
      <c r="B102" s="24"/>
      <c r="C102" s="24"/>
      <c r="D102" s="24"/>
      <c r="E102" s="24"/>
      <c r="F102" s="24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customFormat="false" ht="15" hidden="false" customHeight="false" outlineLevel="0" collapsed="false">
      <c r="A103" s="23" t="s">
        <v>159</v>
      </c>
      <c r="B103" s="24"/>
      <c r="C103" s="24"/>
      <c r="D103" s="24"/>
      <c r="E103" s="24"/>
      <c r="F103" s="24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customFormat="false" ht="15" hidden="false" customHeight="false" outlineLevel="0" collapsed="false">
      <c r="A104" s="23" t="s">
        <v>159</v>
      </c>
      <c r="B104" s="24"/>
      <c r="C104" s="24"/>
      <c r="D104" s="24"/>
      <c r="E104" s="24"/>
      <c r="F104" s="24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customFormat="false" ht="15" hidden="false" customHeight="false" outlineLevel="0" collapsed="false">
      <c r="A105" s="23" t="s">
        <v>159</v>
      </c>
      <c r="B105" s="24"/>
      <c r="C105" s="24"/>
      <c r="D105" s="24"/>
      <c r="E105" s="24"/>
      <c r="F105" s="24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customFormat="false" ht="15" hidden="false" customHeight="false" outlineLevel="0" collapsed="false">
      <c r="A106" s="23" t="s">
        <v>159</v>
      </c>
      <c r="B106" s="24"/>
      <c r="C106" s="24"/>
      <c r="D106" s="24"/>
      <c r="E106" s="24"/>
      <c r="F106" s="24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customFormat="false" ht="15" hidden="false" customHeight="false" outlineLevel="0" collapsed="false">
      <c r="A107" s="23" t="s">
        <v>159</v>
      </c>
      <c r="B107" s="24"/>
      <c r="C107" s="24"/>
      <c r="D107" s="24"/>
      <c r="E107" s="24"/>
      <c r="F107" s="24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 customFormat="false" ht="15" hidden="false" customHeight="false" outlineLevel="0" collapsed="false">
      <c r="A108" s="23" t="s">
        <v>159</v>
      </c>
      <c r="B108" s="24"/>
      <c r="C108" s="24"/>
      <c r="D108" s="24"/>
      <c r="E108" s="24"/>
      <c r="F108" s="24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customFormat="false" ht="15" hidden="false" customHeight="false" outlineLevel="0" collapsed="false">
      <c r="A109" s="23" t="s">
        <v>159</v>
      </c>
      <c r="B109" s="24"/>
      <c r="C109" s="24"/>
      <c r="D109" s="24"/>
      <c r="E109" s="24"/>
      <c r="F109" s="24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customFormat="false" ht="15" hidden="false" customHeight="false" outlineLevel="0" collapsed="false">
      <c r="A110" s="23" t="s">
        <v>159</v>
      </c>
      <c r="B110" s="24"/>
      <c r="C110" s="24"/>
      <c r="D110" s="24"/>
      <c r="E110" s="24"/>
      <c r="F110" s="24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customFormat="false" ht="15" hidden="false" customHeight="false" outlineLevel="0" collapsed="false">
      <c r="A111" s="23" t="s">
        <v>159</v>
      </c>
      <c r="B111" s="24"/>
      <c r="C111" s="24"/>
      <c r="D111" s="24"/>
      <c r="E111" s="24"/>
      <c r="F111" s="24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customFormat="false" ht="15" hidden="false" customHeight="false" outlineLevel="0" collapsed="false">
      <c r="A112" s="23" t="s">
        <v>159</v>
      </c>
      <c r="B112" s="24"/>
      <c r="C112" s="24"/>
      <c r="D112" s="24"/>
      <c r="E112" s="24"/>
      <c r="F112" s="24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customFormat="false" ht="15" hidden="false" customHeight="false" outlineLevel="0" collapsed="false">
      <c r="A113" s="23" t="s">
        <v>159</v>
      </c>
      <c r="B113" s="24"/>
      <c r="C113" s="24"/>
      <c r="D113" s="24"/>
      <c r="E113" s="24"/>
      <c r="F113" s="24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customFormat="false" ht="15" hidden="false" customHeight="false" outlineLevel="0" collapsed="false">
      <c r="A114" s="23" t="s">
        <v>159</v>
      </c>
      <c r="B114" s="24"/>
      <c r="C114" s="24"/>
      <c r="D114" s="24"/>
      <c r="E114" s="24"/>
      <c r="F114" s="24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customFormat="false" ht="15" hidden="false" customHeight="false" outlineLevel="0" collapsed="false">
      <c r="A115" s="23" t="s">
        <v>159</v>
      </c>
      <c r="B115" s="24"/>
      <c r="C115" s="24"/>
      <c r="D115" s="24"/>
      <c r="E115" s="24"/>
      <c r="F115" s="24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customFormat="false" ht="15" hidden="false" customHeight="false" outlineLevel="0" collapsed="false">
      <c r="A116" s="23" t="s">
        <v>159</v>
      </c>
      <c r="B116" s="24"/>
      <c r="C116" s="24"/>
      <c r="D116" s="24"/>
      <c r="E116" s="24"/>
      <c r="F116" s="24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 customFormat="false" ht="15" hidden="false" customHeight="false" outlineLevel="0" collapsed="false">
      <c r="A117" s="23" t="s">
        <v>159</v>
      </c>
      <c r="B117" s="24"/>
      <c r="C117" s="24"/>
      <c r="D117" s="24"/>
      <c r="E117" s="24"/>
      <c r="F117" s="24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customFormat="false" ht="15" hidden="false" customHeight="false" outlineLevel="0" collapsed="false">
      <c r="A118" s="23" t="s">
        <v>159</v>
      </c>
      <c r="B118" s="24"/>
      <c r="C118" s="24"/>
      <c r="D118" s="24"/>
      <c r="E118" s="24"/>
      <c r="F118" s="24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customFormat="false" ht="15" hidden="false" customHeight="false" outlineLevel="0" collapsed="false">
      <c r="A119" s="23" t="s">
        <v>159</v>
      </c>
      <c r="B119" s="24"/>
      <c r="C119" s="24"/>
      <c r="D119" s="24"/>
      <c r="E119" s="24"/>
      <c r="F119" s="24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customFormat="false" ht="15" hidden="false" customHeight="false" outlineLevel="0" collapsed="false">
      <c r="A120" s="23" t="s">
        <v>159</v>
      </c>
      <c r="B120" s="24"/>
      <c r="C120" s="24"/>
      <c r="D120" s="24"/>
      <c r="E120" s="24"/>
      <c r="F120" s="24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customFormat="false" ht="15" hidden="false" customHeight="false" outlineLevel="0" collapsed="false">
      <c r="A121" s="23" t="s">
        <v>159</v>
      </c>
      <c r="B121" s="24"/>
      <c r="C121" s="24"/>
      <c r="D121" s="24"/>
      <c r="E121" s="24"/>
      <c r="F121" s="24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customFormat="false" ht="15" hidden="false" customHeight="false" outlineLevel="0" collapsed="false">
      <c r="A122" s="23" t="s">
        <v>159</v>
      </c>
      <c r="B122" s="24"/>
      <c r="C122" s="24"/>
      <c r="D122" s="24"/>
      <c r="E122" s="24"/>
      <c r="F122" s="24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customFormat="false" ht="15" hidden="false" customHeight="false" outlineLevel="0" collapsed="false">
      <c r="A123" s="23" t="s">
        <v>159</v>
      </c>
      <c r="B123" s="24"/>
      <c r="C123" s="24"/>
      <c r="D123" s="24"/>
      <c r="E123" s="24"/>
      <c r="F123" s="24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customFormat="false" ht="15" hidden="false" customHeight="false" outlineLevel="0" collapsed="false">
      <c r="A124" s="23" t="s">
        <v>159</v>
      </c>
      <c r="B124" s="24"/>
      <c r="C124" s="24"/>
      <c r="D124" s="24"/>
      <c r="E124" s="24"/>
      <c r="F124" s="24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customFormat="false" ht="15" hidden="false" customHeight="false" outlineLevel="0" collapsed="false">
      <c r="A125" s="23" t="s">
        <v>159</v>
      </c>
      <c r="B125" s="24"/>
      <c r="C125" s="24"/>
      <c r="D125" s="24"/>
      <c r="E125" s="24"/>
      <c r="F125" s="24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customFormat="false" ht="15" hidden="false" customHeight="false" outlineLevel="0" collapsed="false">
      <c r="A126" s="23" t="s">
        <v>159</v>
      </c>
      <c r="B126" s="24"/>
      <c r="C126" s="24"/>
      <c r="D126" s="24"/>
      <c r="E126" s="24"/>
      <c r="F126" s="24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customFormat="false" ht="15" hidden="false" customHeight="false" outlineLevel="0" collapsed="false">
      <c r="A127" s="23" t="s">
        <v>159</v>
      </c>
      <c r="B127" s="24"/>
      <c r="C127" s="24"/>
      <c r="D127" s="24"/>
      <c r="E127" s="24"/>
      <c r="F127" s="24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customFormat="false" ht="15" hidden="false" customHeight="false" outlineLevel="0" collapsed="false">
      <c r="A128" s="23" t="s">
        <v>159</v>
      </c>
      <c r="B128" s="24"/>
      <c r="C128" s="24"/>
      <c r="D128" s="24"/>
      <c r="E128" s="24"/>
      <c r="F128" s="24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customFormat="false" ht="15" hidden="false" customHeight="false" outlineLevel="0" collapsed="false">
      <c r="A129" s="23" t="s">
        <v>159</v>
      </c>
      <c r="B129" s="24"/>
      <c r="C129" s="24"/>
      <c r="D129" s="24"/>
      <c r="E129" s="24"/>
      <c r="F129" s="24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customFormat="false" ht="15" hidden="false" customHeight="false" outlineLevel="0" collapsed="false">
      <c r="A130" s="23" t="s">
        <v>159</v>
      </c>
      <c r="B130" s="24"/>
      <c r="C130" s="24"/>
      <c r="D130" s="24"/>
      <c r="E130" s="24"/>
      <c r="F130" s="24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customFormat="false" ht="15" hidden="false" customHeight="false" outlineLevel="0" collapsed="false">
      <c r="A131" s="23" t="s">
        <v>159</v>
      </c>
      <c r="B131" s="24"/>
      <c r="C131" s="24"/>
      <c r="D131" s="24"/>
      <c r="E131" s="24"/>
      <c r="F131" s="24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customFormat="false" ht="15" hidden="false" customHeight="false" outlineLevel="0" collapsed="false">
      <c r="A132" s="23" t="s">
        <v>159</v>
      </c>
      <c r="B132" s="24"/>
      <c r="C132" s="24"/>
      <c r="D132" s="24"/>
      <c r="E132" s="24"/>
      <c r="F132" s="24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customFormat="false" ht="15" hidden="false" customHeight="false" outlineLevel="0" collapsed="false">
      <c r="A133" s="23" t="s">
        <v>159</v>
      </c>
      <c r="B133" s="24"/>
      <c r="C133" s="24"/>
      <c r="D133" s="24"/>
      <c r="E133" s="24"/>
      <c r="F133" s="24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customFormat="false" ht="15" hidden="false" customHeight="false" outlineLevel="0" collapsed="false">
      <c r="A134" s="23" t="s">
        <v>159</v>
      </c>
      <c r="B134" s="24"/>
      <c r="C134" s="24"/>
      <c r="D134" s="24"/>
      <c r="E134" s="24"/>
      <c r="F134" s="24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customFormat="false" ht="15" hidden="false" customHeight="false" outlineLevel="0" collapsed="false">
      <c r="A135" s="23" t="s">
        <v>159</v>
      </c>
      <c r="B135" s="24"/>
      <c r="C135" s="24"/>
      <c r="D135" s="24"/>
      <c r="E135" s="24"/>
      <c r="F135" s="24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customFormat="false" ht="15" hidden="false" customHeight="false" outlineLevel="0" collapsed="false">
      <c r="A136" s="23" t="s">
        <v>159</v>
      </c>
      <c r="B136" s="24"/>
      <c r="C136" s="24"/>
      <c r="D136" s="24"/>
      <c r="E136" s="24"/>
      <c r="F136" s="24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customFormat="false" ht="15" hidden="false" customHeight="false" outlineLevel="0" collapsed="false">
      <c r="A137" s="23" t="s">
        <v>159</v>
      </c>
      <c r="B137" s="24"/>
      <c r="C137" s="24"/>
      <c r="D137" s="24"/>
      <c r="E137" s="24"/>
      <c r="F137" s="24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customFormat="false" ht="15" hidden="false" customHeight="false" outlineLevel="0" collapsed="false">
      <c r="A138" s="23" t="s">
        <v>159</v>
      </c>
      <c r="B138" s="24"/>
      <c r="C138" s="24"/>
      <c r="D138" s="24"/>
      <c r="E138" s="24"/>
      <c r="F138" s="24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customFormat="false" ht="15" hidden="false" customHeight="false" outlineLevel="0" collapsed="false">
      <c r="A139" s="23" t="s">
        <v>159</v>
      </c>
      <c r="B139" s="24"/>
      <c r="C139" s="24"/>
      <c r="D139" s="24"/>
      <c r="E139" s="24"/>
      <c r="F139" s="24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customFormat="false" ht="15" hidden="false" customHeight="false" outlineLevel="0" collapsed="false">
      <c r="A140" s="23" t="s">
        <v>159</v>
      </c>
      <c r="B140" s="24"/>
      <c r="C140" s="24"/>
      <c r="D140" s="24"/>
      <c r="E140" s="24"/>
      <c r="F140" s="24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customFormat="false" ht="15" hidden="false" customHeight="false" outlineLevel="0" collapsed="false">
      <c r="A141" s="23" t="s">
        <v>159</v>
      </c>
      <c r="B141" s="24"/>
      <c r="C141" s="24"/>
      <c r="D141" s="24"/>
      <c r="E141" s="24"/>
      <c r="F141" s="24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customFormat="false" ht="15" hidden="false" customHeight="false" outlineLevel="0" collapsed="false">
      <c r="A142" s="23" t="s">
        <v>159</v>
      </c>
      <c r="B142" s="24"/>
      <c r="C142" s="24"/>
      <c r="D142" s="24"/>
      <c r="E142" s="24"/>
      <c r="F142" s="24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customFormat="false" ht="15" hidden="false" customHeight="false" outlineLevel="0" collapsed="false">
      <c r="A143" s="23" t="s">
        <v>159</v>
      </c>
      <c r="B143" s="24"/>
      <c r="C143" s="24"/>
      <c r="D143" s="24"/>
      <c r="E143" s="24"/>
      <c r="F143" s="24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customFormat="false" ht="15" hidden="false" customHeight="false" outlineLevel="0" collapsed="false">
      <c r="A144" s="23" t="s">
        <v>159</v>
      </c>
      <c r="B144" s="24"/>
      <c r="C144" s="24"/>
      <c r="D144" s="24"/>
      <c r="E144" s="24"/>
      <c r="F144" s="24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customFormat="false" ht="15" hidden="false" customHeight="false" outlineLevel="0" collapsed="false">
      <c r="A145" s="23" t="s">
        <v>159</v>
      </c>
      <c r="B145" s="24"/>
      <c r="C145" s="24"/>
      <c r="D145" s="24"/>
      <c r="E145" s="24"/>
      <c r="F145" s="24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customFormat="false" ht="15" hidden="false" customHeight="false" outlineLevel="0" collapsed="false">
      <c r="A146" s="23" t="s">
        <v>159</v>
      </c>
      <c r="B146" s="24"/>
      <c r="C146" s="24"/>
      <c r="D146" s="24"/>
      <c r="E146" s="24"/>
      <c r="F146" s="24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customFormat="false" ht="15" hidden="false" customHeight="false" outlineLevel="0" collapsed="false">
      <c r="A147" s="23" t="s">
        <v>159</v>
      </c>
      <c r="B147" s="24"/>
      <c r="C147" s="24"/>
      <c r="D147" s="24"/>
      <c r="E147" s="24"/>
      <c r="F147" s="24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customFormat="false" ht="15" hidden="false" customHeight="false" outlineLevel="0" collapsed="false">
      <c r="A148" s="23" t="s">
        <v>159</v>
      </c>
      <c r="B148" s="24"/>
      <c r="C148" s="24"/>
      <c r="D148" s="24"/>
      <c r="E148" s="24"/>
      <c r="F148" s="24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customFormat="false" ht="15" hidden="false" customHeight="false" outlineLevel="0" collapsed="false">
      <c r="A149" s="23" t="s">
        <v>159</v>
      </c>
      <c r="B149" s="24"/>
      <c r="C149" s="24"/>
      <c r="D149" s="24"/>
      <c r="E149" s="24"/>
      <c r="F149" s="24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customFormat="false" ht="15" hidden="false" customHeight="false" outlineLevel="0" collapsed="false">
      <c r="A150" s="23" t="s">
        <v>159</v>
      </c>
      <c r="B150" s="24"/>
      <c r="C150" s="24"/>
      <c r="D150" s="24"/>
      <c r="E150" s="24"/>
      <c r="F150" s="24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customFormat="false" ht="15" hidden="false" customHeight="false" outlineLevel="0" collapsed="false">
      <c r="A151" s="23" t="s">
        <v>159</v>
      </c>
      <c r="B151" s="24"/>
      <c r="C151" s="24"/>
      <c r="D151" s="24"/>
      <c r="E151" s="24"/>
      <c r="F151" s="24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customFormat="false" ht="15" hidden="false" customHeight="false" outlineLevel="0" collapsed="false">
      <c r="A152" s="23" t="s">
        <v>159</v>
      </c>
      <c r="B152" s="24"/>
      <c r="C152" s="24"/>
      <c r="D152" s="24"/>
      <c r="E152" s="24"/>
      <c r="F152" s="24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customFormat="false" ht="15" hidden="false" customHeight="false" outlineLevel="0" collapsed="false">
      <c r="A153" s="23" t="s">
        <v>159</v>
      </c>
      <c r="B153" s="24"/>
      <c r="C153" s="24"/>
      <c r="D153" s="24"/>
      <c r="E153" s="24"/>
      <c r="F153" s="24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customFormat="false" ht="15" hidden="false" customHeight="false" outlineLevel="0" collapsed="false">
      <c r="A154" s="23" t="s">
        <v>159</v>
      </c>
      <c r="B154" s="24"/>
      <c r="C154" s="24"/>
      <c r="D154" s="24"/>
      <c r="E154" s="24"/>
      <c r="F154" s="24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customFormat="false" ht="15" hidden="false" customHeight="false" outlineLevel="0" collapsed="false">
      <c r="A155" s="23" t="s">
        <v>159</v>
      </c>
      <c r="B155" s="24"/>
      <c r="C155" s="24"/>
      <c r="D155" s="24"/>
      <c r="E155" s="24"/>
      <c r="F155" s="24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customFormat="false" ht="15" hidden="false" customHeight="false" outlineLevel="0" collapsed="false">
      <c r="A156" s="23" t="s">
        <v>159</v>
      </c>
      <c r="B156" s="24"/>
      <c r="C156" s="24"/>
      <c r="D156" s="24"/>
      <c r="E156" s="24"/>
      <c r="F156" s="24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customFormat="false" ht="15" hidden="false" customHeight="false" outlineLevel="0" collapsed="false">
      <c r="A157" s="23" t="s">
        <v>159</v>
      </c>
      <c r="B157" s="24"/>
      <c r="C157" s="24"/>
      <c r="D157" s="24"/>
      <c r="E157" s="24"/>
      <c r="F157" s="24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customFormat="false" ht="15" hidden="false" customHeight="false" outlineLevel="0" collapsed="false">
      <c r="A158" s="23" t="s">
        <v>159</v>
      </c>
      <c r="B158" s="24"/>
      <c r="C158" s="24"/>
      <c r="D158" s="24"/>
      <c r="E158" s="24"/>
      <c r="F158" s="24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customFormat="false" ht="15" hidden="false" customHeight="false" outlineLevel="0" collapsed="false">
      <c r="A159" s="23" t="s">
        <v>159</v>
      </c>
      <c r="B159" s="24"/>
      <c r="C159" s="24"/>
      <c r="D159" s="24"/>
      <c r="E159" s="24"/>
      <c r="F159" s="24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customFormat="false" ht="15" hidden="false" customHeight="false" outlineLevel="0" collapsed="false">
      <c r="A160" s="23" t="s">
        <v>159</v>
      </c>
      <c r="B160" s="24"/>
      <c r="C160" s="24"/>
      <c r="D160" s="24"/>
      <c r="E160" s="24"/>
      <c r="F160" s="24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 customFormat="false" ht="15" hidden="false" customHeight="false" outlineLevel="0" collapsed="false">
      <c r="A161" s="23" t="s">
        <v>159</v>
      </c>
      <c r="B161" s="24"/>
      <c r="C161" s="24"/>
      <c r="D161" s="24"/>
      <c r="E161" s="24"/>
      <c r="F161" s="24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 customFormat="false" ht="15" hidden="false" customHeight="false" outlineLevel="0" collapsed="false">
      <c r="A162" s="23" t="s">
        <v>159</v>
      </c>
      <c r="B162" s="24"/>
      <c r="C162" s="24"/>
      <c r="D162" s="24"/>
      <c r="E162" s="24"/>
      <c r="F162" s="24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 customFormat="false" ht="15" hidden="false" customHeight="false" outlineLevel="0" collapsed="false">
      <c r="A163" s="23" t="s">
        <v>159</v>
      </c>
      <c r="B163" s="24"/>
      <c r="C163" s="24"/>
      <c r="D163" s="24"/>
      <c r="E163" s="24"/>
      <c r="F163" s="24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 customFormat="false" ht="15" hidden="false" customHeight="false" outlineLevel="0" collapsed="false">
      <c r="A164" s="23" t="s">
        <v>159</v>
      </c>
      <c r="B164" s="24"/>
      <c r="C164" s="24"/>
      <c r="D164" s="24"/>
      <c r="E164" s="24"/>
      <c r="F164" s="24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customFormat="false" ht="15" hidden="false" customHeight="false" outlineLevel="0" collapsed="false">
      <c r="A165" s="23" t="s">
        <v>159</v>
      </c>
      <c r="B165" s="24"/>
      <c r="C165" s="24"/>
      <c r="D165" s="24"/>
      <c r="E165" s="24"/>
      <c r="F165" s="24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 customFormat="false" ht="15" hidden="false" customHeight="false" outlineLevel="0" collapsed="false">
      <c r="A166" s="23" t="s">
        <v>159</v>
      </c>
      <c r="B166" s="24"/>
      <c r="C166" s="24"/>
      <c r="D166" s="24"/>
      <c r="E166" s="24"/>
      <c r="F166" s="24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 customFormat="false" ht="15" hidden="false" customHeight="false" outlineLevel="0" collapsed="false">
      <c r="A167" s="23" t="s">
        <v>159</v>
      </c>
      <c r="B167" s="24"/>
      <c r="C167" s="24"/>
      <c r="D167" s="24"/>
      <c r="E167" s="24"/>
      <c r="F167" s="24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 customFormat="false" ht="15" hidden="false" customHeight="false" outlineLevel="0" collapsed="false">
      <c r="A168" s="23" t="s">
        <v>159</v>
      </c>
      <c r="B168" s="24"/>
      <c r="C168" s="24"/>
      <c r="D168" s="24"/>
      <c r="E168" s="24"/>
      <c r="F168" s="24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 customFormat="false" ht="15" hidden="false" customHeight="false" outlineLevel="0" collapsed="false">
      <c r="A169" s="23" t="s">
        <v>159</v>
      </c>
      <c r="B169" s="24"/>
      <c r="C169" s="24"/>
      <c r="D169" s="24"/>
      <c r="E169" s="24"/>
      <c r="F169" s="24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 customFormat="false" ht="15" hidden="false" customHeight="false" outlineLevel="0" collapsed="false">
      <c r="A170" s="23" t="s">
        <v>159</v>
      </c>
      <c r="B170" s="24"/>
      <c r="C170" s="24"/>
      <c r="D170" s="24"/>
      <c r="E170" s="24"/>
      <c r="F170" s="24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 customFormat="false" ht="15" hidden="false" customHeight="false" outlineLevel="0" collapsed="false">
      <c r="A171" s="23" t="s">
        <v>159</v>
      </c>
      <c r="B171" s="24"/>
      <c r="C171" s="24"/>
      <c r="D171" s="24"/>
      <c r="E171" s="24"/>
      <c r="F171" s="24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 customFormat="false" ht="15" hidden="false" customHeight="false" outlineLevel="0" collapsed="false">
      <c r="A172" s="23" t="s">
        <v>159</v>
      </c>
      <c r="B172" s="24"/>
      <c r="C172" s="24"/>
      <c r="D172" s="24"/>
      <c r="E172" s="24"/>
      <c r="F172" s="24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 customFormat="false" ht="15" hidden="false" customHeight="false" outlineLevel="0" collapsed="false">
      <c r="A173" s="23" t="s">
        <v>159</v>
      </c>
      <c r="B173" s="24"/>
      <c r="C173" s="24"/>
      <c r="D173" s="24"/>
      <c r="E173" s="24"/>
      <c r="F173" s="24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 customFormat="false" ht="15" hidden="false" customHeight="false" outlineLevel="0" collapsed="false">
      <c r="A174" s="23" t="s">
        <v>159</v>
      </c>
      <c r="B174" s="24"/>
      <c r="C174" s="24"/>
      <c r="D174" s="24"/>
      <c r="E174" s="24"/>
      <c r="F174" s="24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 customFormat="false" ht="15" hidden="false" customHeight="false" outlineLevel="0" collapsed="false">
      <c r="A175" s="23" t="s">
        <v>159</v>
      </c>
      <c r="B175" s="24"/>
      <c r="C175" s="24"/>
      <c r="D175" s="24"/>
      <c r="E175" s="24"/>
      <c r="F175" s="24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 customFormat="false" ht="15" hidden="false" customHeight="false" outlineLevel="0" collapsed="false">
      <c r="A176" s="23" t="s">
        <v>159</v>
      </c>
      <c r="B176" s="24"/>
      <c r="C176" s="24"/>
      <c r="D176" s="24"/>
      <c r="E176" s="24"/>
      <c r="F176" s="24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 customFormat="false" ht="15" hidden="false" customHeight="false" outlineLevel="0" collapsed="false">
      <c r="A177" s="23" t="s">
        <v>159</v>
      </c>
      <c r="B177" s="24"/>
      <c r="C177" s="24"/>
      <c r="D177" s="24"/>
      <c r="E177" s="24"/>
      <c r="F177" s="24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 customFormat="false" ht="15" hidden="false" customHeight="false" outlineLevel="0" collapsed="false">
      <c r="A178" s="23" t="s">
        <v>159</v>
      </c>
      <c r="B178" s="24"/>
      <c r="C178" s="24"/>
      <c r="D178" s="24"/>
      <c r="E178" s="24"/>
      <c r="F178" s="24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 customFormat="false" ht="15" hidden="false" customHeight="false" outlineLevel="0" collapsed="false">
      <c r="A179" s="23" t="s">
        <v>159</v>
      </c>
      <c r="B179" s="24"/>
      <c r="C179" s="24"/>
      <c r="D179" s="24"/>
      <c r="E179" s="24"/>
      <c r="F179" s="24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 customFormat="false" ht="15" hidden="false" customHeight="false" outlineLevel="0" collapsed="false">
      <c r="A180" s="23" t="s">
        <v>159</v>
      </c>
      <c r="B180" s="24"/>
      <c r="C180" s="24"/>
      <c r="D180" s="24"/>
      <c r="E180" s="24"/>
      <c r="F180" s="24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 customFormat="false" ht="15" hidden="false" customHeight="false" outlineLevel="0" collapsed="false">
      <c r="A181" s="23" t="s">
        <v>159</v>
      </c>
      <c r="B181" s="24"/>
      <c r="C181" s="24"/>
      <c r="D181" s="24"/>
      <c r="E181" s="24"/>
      <c r="F181" s="24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customFormat="false" ht="15" hidden="false" customHeight="false" outlineLevel="0" collapsed="false">
      <c r="A182" s="23" t="s">
        <v>159</v>
      </c>
      <c r="B182" s="24"/>
      <c r="C182" s="24"/>
      <c r="D182" s="24"/>
      <c r="E182" s="24"/>
      <c r="F182" s="24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customFormat="false" ht="15" hidden="false" customHeight="false" outlineLevel="0" collapsed="false">
      <c r="A183" s="23" t="s">
        <v>159</v>
      </c>
      <c r="B183" s="24"/>
      <c r="C183" s="24"/>
      <c r="D183" s="24"/>
      <c r="E183" s="24"/>
      <c r="F183" s="24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 customFormat="false" ht="15" hidden="false" customHeight="false" outlineLevel="0" collapsed="false">
      <c r="A184" s="23" t="s">
        <v>159</v>
      </c>
      <c r="B184" s="24"/>
      <c r="C184" s="24"/>
      <c r="D184" s="24"/>
      <c r="E184" s="24"/>
      <c r="F184" s="24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 customFormat="false" ht="15" hidden="false" customHeight="false" outlineLevel="0" collapsed="false">
      <c r="A185" s="23" t="s">
        <v>159</v>
      </c>
      <c r="B185" s="24"/>
      <c r="C185" s="24"/>
      <c r="D185" s="24"/>
      <c r="E185" s="24"/>
      <c r="F185" s="24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 customFormat="false" ht="15" hidden="false" customHeight="false" outlineLevel="0" collapsed="false">
      <c r="A186" s="23" t="s">
        <v>159</v>
      </c>
      <c r="B186" s="24"/>
      <c r="C186" s="24"/>
      <c r="D186" s="24"/>
      <c r="E186" s="24"/>
      <c r="F186" s="24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 customFormat="false" ht="15" hidden="false" customHeight="false" outlineLevel="0" collapsed="false">
      <c r="A187" s="23" t="s">
        <v>159</v>
      </c>
      <c r="B187" s="24"/>
      <c r="C187" s="24"/>
      <c r="D187" s="24"/>
      <c r="E187" s="24"/>
      <c r="F187" s="24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 customFormat="false" ht="15" hidden="false" customHeight="false" outlineLevel="0" collapsed="false">
      <c r="A188" s="23" t="s">
        <v>159</v>
      </c>
      <c r="B188" s="24"/>
      <c r="C188" s="24"/>
      <c r="D188" s="24"/>
      <c r="E188" s="24"/>
      <c r="F188" s="24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 customFormat="false" ht="15" hidden="false" customHeight="false" outlineLevel="0" collapsed="false">
      <c r="A189" s="23" t="s">
        <v>159</v>
      </c>
      <c r="B189" s="24"/>
      <c r="C189" s="24"/>
      <c r="D189" s="24"/>
      <c r="E189" s="24"/>
      <c r="F189" s="24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 customFormat="false" ht="15" hidden="false" customHeight="false" outlineLevel="0" collapsed="false">
      <c r="A190" s="23" t="s">
        <v>159</v>
      </c>
      <c r="B190" s="24"/>
      <c r="C190" s="24"/>
      <c r="D190" s="24"/>
      <c r="E190" s="24"/>
      <c r="F190" s="24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 customFormat="false" ht="15" hidden="false" customHeight="false" outlineLevel="0" collapsed="false">
      <c r="A191" s="23" t="s">
        <v>159</v>
      </c>
      <c r="B191" s="24"/>
      <c r="C191" s="24"/>
      <c r="D191" s="24"/>
      <c r="E191" s="24"/>
      <c r="F191" s="24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 customFormat="false" ht="15" hidden="false" customHeight="false" outlineLevel="0" collapsed="false">
      <c r="A192" s="23" t="s">
        <v>159</v>
      </c>
      <c r="B192" s="24"/>
      <c r="C192" s="24"/>
      <c r="D192" s="24"/>
      <c r="E192" s="24"/>
      <c r="F192" s="24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 customFormat="false" ht="15" hidden="false" customHeight="false" outlineLevel="0" collapsed="false">
      <c r="A193" s="23" t="s">
        <v>159</v>
      </c>
      <c r="B193" s="24"/>
      <c r="C193" s="24"/>
      <c r="D193" s="24"/>
      <c r="E193" s="24"/>
      <c r="F193" s="24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 customFormat="false" ht="15" hidden="false" customHeight="false" outlineLevel="0" collapsed="false">
      <c r="A194" s="23" t="s">
        <v>159</v>
      </c>
      <c r="B194" s="24"/>
      <c r="C194" s="24"/>
      <c r="D194" s="24"/>
      <c r="E194" s="24"/>
      <c r="F194" s="24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 customFormat="false" ht="15" hidden="false" customHeight="false" outlineLevel="0" collapsed="false">
      <c r="A195" s="23" t="s">
        <v>159</v>
      </c>
      <c r="B195" s="24"/>
      <c r="C195" s="24"/>
      <c r="D195" s="24"/>
      <c r="E195" s="24"/>
      <c r="F195" s="24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 customFormat="false" ht="15" hidden="false" customHeight="false" outlineLevel="0" collapsed="false">
      <c r="A196" s="23" t="s">
        <v>159</v>
      </c>
      <c r="B196" s="24"/>
      <c r="C196" s="24"/>
      <c r="D196" s="24"/>
      <c r="E196" s="24"/>
      <c r="F196" s="24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 customFormat="false" ht="15" hidden="false" customHeight="false" outlineLevel="0" collapsed="false">
      <c r="A197" s="23" t="s">
        <v>159</v>
      </c>
      <c r="B197" s="24"/>
      <c r="C197" s="24"/>
      <c r="D197" s="24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 customFormat="false" ht="15" hidden="false" customHeight="false" outlineLevel="0" collapsed="false">
      <c r="A198" s="23" t="s">
        <v>159</v>
      </c>
      <c r="B198" s="24"/>
      <c r="C198" s="24"/>
      <c r="D198" s="24"/>
      <c r="E198" s="24"/>
      <c r="F198" s="24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 customFormat="false" ht="15" hidden="false" customHeight="false" outlineLevel="0" collapsed="false">
      <c r="A199" s="23" t="s">
        <v>159</v>
      </c>
      <c r="B199" s="24"/>
      <c r="C199" s="24"/>
      <c r="D199" s="24"/>
      <c r="E199" s="24"/>
      <c r="F199" s="24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 customFormat="false" ht="15" hidden="false" customHeight="false" outlineLevel="0" collapsed="false">
      <c r="A200" s="23" t="s">
        <v>159</v>
      </c>
      <c r="B200" s="24"/>
      <c r="C200" s="24"/>
      <c r="D200" s="24"/>
      <c r="E200" s="24"/>
      <c r="F200" s="24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 customFormat="false" ht="15" hidden="false" customHeight="false" outlineLevel="0" collapsed="false">
      <c r="A201" s="23" t="s">
        <v>159</v>
      </c>
      <c r="B201" s="24"/>
      <c r="C201" s="24"/>
      <c r="D201" s="24"/>
      <c r="E201" s="24"/>
      <c r="F201" s="24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 customFormat="false" ht="15" hidden="false" customHeight="false" outlineLevel="0" collapsed="false">
      <c r="A202" s="23" t="s">
        <v>159</v>
      </c>
      <c r="B202" s="24"/>
      <c r="C202" s="24"/>
      <c r="D202" s="24"/>
      <c r="E202" s="24"/>
      <c r="F202" s="24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 customFormat="false" ht="15" hidden="false" customHeight="false" outlineLevel="0" collapsed="false">
      <c r="A203" s="23" t="s">
        <v>159</v>
      </c>
      <c r="B203" s="24"/>
      <c r="C203" s="24"/>
      <c r="D203" s="24"/>
      <c r="E203" s="24"/>
      <c r="F203" s="24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customFormat="false" ht="15" hidden="false" customHeight="false" outlineLevel="0" collapsed="false">
      <c r="A204" s="23" t="s">
        <v>159</v>
      </c>
      <c r="B204" s="24"/>
      <c r="C204" s="24"/>
      <c r="D204" s="24"/>
      <c r="E204" s="24"/>
      <c r="F204" s="24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 customFormat="false" ht="15" hidden="false" customHeight="false" outlineLevel="0" collapsed="false">
      <c r="A205" s="23" t="s">
        <v>159</v>
      </c>
      <c r="B205" s="24"/>
      <c r="C205" s="24"/>
      <c r="D205" s="24"/>
      <c r="E205" s="24"/>
      <c r="F205" s="24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 customFormat="false" ht="15" hidden="false" customHeight="false" outlineLevel="0" collapsed="false">
      <c r="A206" s="23" t="s">
        <v>159</v>
      </c>
      <c r="B206" s="24"/>
      <c r="C206" s="24"/>
      <c r="D206" s="24"/>
      <c r="E206" s="24"/>
      <c r="F206" s="24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 customFormat="false" ht="15" hidden="false" customHeight="false" outlineLevel="0" collapsed="false">
      <c r="A207" s="23" t="s">
        <v>159</v>
      </c>
      <c r="B207" s="24"/>
      <c r="C207" s="24"/>
      <c r="D207" s="24"/>
      <c r="E207" s="24"/>
      <c r="F207" s="24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 customFormat="false" ht="15" hidden="false" customHeight="false" outlineLevel="0" collapsed="false">
      <c r="A208" s="23" t="s">
        <v>159</v>
      </c>
      <c r="B208" s="24"/>
      <c r="C208" s="24"/>
      <c r="D208" s="24"/>
      <c r="E208" s="24"/>
      <c r="F208" s="24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 customFormat="false" ht="15" hidden="false" customHeight="false" outlineLevel="0" collapsed="false">
      <c r="A209" s="23" t="s">
        <v>159</v>
      </c>
      <c r="B209" s="24"/>
      <c r="C209" s="24"/>
      <c r="D209" s="24"/>
      <c r="E209" s="24"/>
      <c r="F209" s="24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 customFormat="false" ht="15" hidden="false" customHeight="false" outlineLevel="0" collapsed="false">
      <c r="A210" s="23" t="s">
        <v>159</v>
      </c>
      <c r="B210" s="24"/>
      <c r="C210" s="24"/>
      <c r="D210" s="24"/>
      <c r="E210" s="24"/>
      <c r="F210" s="24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 customFormat="false" ht="15" hidden="false" customHeight="false" outlineLevel="0" collapsed="false">
      <c r="A211" s="23" t="s">
        <v>159</v>
      </c>
      <c r="B211" s="24"/>
      <c r="C211" s="24"/>
      <c r="D211" s="24"/>
      <c r="E211" s="24"/>
      <c r="F211" s="24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 customFormat="false" ht="15" hidden="false" customHeight="false" outlineLevel="0" collapsed="false">
      <c r="A212" s="23" t="s">
        <v>159</v>
      </c>
      <c r="B212" s="24"/>
      <c r="C212" s="24"/>
      <c r="D212" s="24"/>
      <c r="E212" s="24"/>
      <c r="F212" s="24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 customFormat="false" ht="15" hidden="false" customHeight="false" outlineLevel="0" collapsed="false">
      <c r="A213" s="23" t="s">
        <v>159</v>
      </c>
      <c r="B213" s="24"/>
      <c r="C213" s="24"/>
      <c r="D213" s="24"/>
      <c r="E213" s="24"/>
      <c r="F213" s="24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 customFormat="false" ht="15" hidden="false" customHeight="false" outlineLevel="0" collapsed="false">
      <c r="A214" s="23" t="s">
        <v>159</v>
      </c>
      <c r="B214" s="24"/>
      <c r="C214" s="24"/>
      <c r="D214" s="24"/>
      <c r="E214" s="24"/>
      <c r="F214" s="24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 customFormat="false" ht="15" hidden="false" customHeight="false" outlineLevel="0" collapsed="false">
      <c r="A215" s="23" t="s">
        <v>159</v>
      </c>
      <c r="B215" s="24"/>
      <c r="C215" s="24"/>
      <c r="D215" s="24"/>
      <c r="E215" s="24"/>
      <c r="F215" s="24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 customFormat="false" ht="15" hidden="false" customHeight="false" outlineLevel="0" collapsed="false">
      <c r="A216" s="23" t="s">
        <v>159</v>
      </c>
      <c r="B216" s="24"/>
      <c r="C216" s="24"/>
      <c r="D216" s="24"/>
      <c r="E216" s="24"/>
      <c r="F216" s="24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customFormat="false" ht="15" hidden="false" customHeight="false" outlineLevel="0" collapsed="false">
      <c r="A217" s="23" t="s">
        <v>159</v>
      </c>
      <c r="B217" s="24"/>
      <c r="C217" s="24"/>
      <c r="D217" s="24"/>
      <c r="E217" s="24"/>
      <c r="F217" s="24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customFormat="false" ht="15" hidden="false" customHeight="false" outlineLevel="0" collapsed="false">
      <c r="A218" s="23" t="s">
        <v>159</v>
      </c>
      <c r="B218" s="24"/>
      <c r="C218" s="24"/>
      <c r="D218" s="24"/>
      <c r="E218" s="24"/>
      <c r="F218" s="24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customFormat="false" ht="15" hidden="false" customHeight="false" outlineLevel="0" collapsed="false">
      <c r="A219" s="23" t="s">
        <v>159</v>
      </c>
      <c r="B219" s="24"/>
      <c r="C219" s="24"/>
      <c r="D219" s="24"/>
      <c r="E219" s="24"/>
      <c r="F219" s="24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customFormat="false" ht="15" hidden="false" customHeight="false" outlineLevel="0" collapsed="false">
      <c r="A220" s="23" t="s">
        <v>159</v>
      </c>
      <c r="B220" s="24"/>
      <c r="C220" s="24"/>
      <c r="D220" s="24"/>
      <c r="E220" s="24"/>
      <c r="F220" s="24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customFormat="false" ht="15" hidden="false" customHeight="false" outlineLevel="0" collapsed="false">
      <c r="A221" s="23" t="s">
        <v>159</v>
      </c>
      <c r="B221" s="24"/>
      <c r="C221" s="24"/>
      <c r="D221" s="24"/>
      <c r="E221" s="24"/>
      <c r="F221" s="24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customFormat="false" ht="15" hidden="false" customHeight="false" outlineLevel="0" collapsed="false">
      <c r="A222" s="23" t="s">
        <v>159</v>
      </c>
      <c r="B222" s="24"/>
      <c r="C222" s="24"/>
      <c r="D222" s="24"/>
      <c r="E222" s="24"/>
      <c r="F222" s="24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customFormat="false" ht="15" hidden="false" customHeight="false" outlineLevel="0" collapsed="false">
      <c r="A223" s="23" t="s">
        <v>159</v>
      </c>
      <c r="B223" s="24"/>
      <c r="C223" s="24"/>
      <c r="D223" s="24"/>
      <c r="E223" s="24"/>
      <c r="F223" s="24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customFormat="false" ht="15" hidden="false" customHeight="false" outlineLevel="0" collapsed="false">
      <c r="A224" s="23" t="s">
        <v>159</v>
      </c>
      <c r="B224" s="24"/>
      <c r="C224" s="24"/>
      <c r="D224" s="24"/>
      <c r="E224" s="24"/>
      <c r="F224" s="24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customFormat="false" ht="15" hidden="false" customHeight="false" outlineLevel="0" collapsed="false">
      <c r="A225" s="23" t="s">
        <v>159</v>
      </c>
      <c r="B225" s="24"/>
      <c r="C225" s="24"/>
      <c r="D225" s="24"/>
      <c r="E225" s="24"/>
      <c r="F225" s="24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customFormat="false" ht="15" hidden="false" customHeight="false" outlineLevel="0" collapsed="false">
      <c r="A226" s="23" t="s">
        <v>159</v>
      </c>
      <c r="B226" s="24"/>
      <c r="C226" s="24"/>
      <c r="D226" s="24"/>
      <c r="E226" s="24"/>
      <c r="F226" s="24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customFormat="false" ht="15" hidden="false" customHeight="false" outlineLevel="0" collapsed="false">
      <c r="A227" s="23" t="s">
        <v>159</v>
      </c>
      <c r="B227" s="24"/>
      <c r="C227" s="24"/>
      <c r="D227" s="24"/>
      <c r="E227" s="24"/>
      <c r="F227" s="24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customFormat="false" ht="15" hidden="false" customHeight="false" outlineLevel="0" collapsed="false">
      <c r="A228" s="23" t="s">
        <v>159</v>
      </c>
      <c r="B228" s="24"/>
      <c r="C228" s="24"/>
      <c r="D228" s="24"/>
      <c r="E228" s="24"/>
      <c r="F228" s="24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customFormat="false" ht="15" hidden="false" customHeight="false" outlineLevel="0" collapsed="false">
      <c r="A229" s="23" t="s">
        <v>159</v>
      </c>
      <c r="B229" s="24"/>
      <c r="C229" s="24"/>
      <c r="D229" s="24"/>
      <c r="E229" s="24"/>
      <c r="F229" s="24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customFormat="false" ht="15" hidden="false" customHeight="false" outlineLevel="0" collapsed="false">
      <c r="A230" s="23" t="s">
        <v>159</v>
      </c>
      <c r="B230" s="24"/>
      <c r="C230" s="24"/>
      <c r="D230" s="24"/>
      <c r="E230" s="24"/>
      <c r="F230" s="24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customFormat="false" ht="15" hidden="false" customHeight="false" outlineLevel="0" collapsed="false">
      <c r="A231" s="23" t="s">
        <v>159</v>
      </c>
      <c r="B231" s="24"/>
      <c r="C231" s="24"/>
      <c r="D231" s="24"/>
      <c r="E231" s="24"/>
      <c r="F231" s="24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customFormat="false" ht="15" hidden="false" customHeight="false" outlineLevel="0" collapsed="false">
      <c r="A232" s="23" t="s">
        <v>159</v>
      </c>
      <c r="B232" s="24"/>
      <c r="C232" s="24"/>
      <c r="D232" s="24"/>
      <c r="E232" s="24"/>
      <c r="F232" s="24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customFormat="false" ht="15" hidden="false" customHeight="false" outlineLevel="0" collapsed="false">
      <c r="A233" s="23" t="s">
        <v>159</v>
      </c>
      <c r="B233" s="24"/>
      <c r="C233" s="24"/>
      <c r="D233" s="24"/>
      <c r="E233" s="24"/>
      <c r="F233" s="24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customFormat="false" ht="15" hidden="false" customHeight="false" outlineLevel="0" collapsed="false">
      <c r="A234" s="23" t="s">
        <v>159</v>
      </c>
      <c r="B234" s="24"/>
      <c r="C234" s="24"/>
      <c r="D234" s="24"/>
      <c r="E234" s="24"/>
      <c r="F234" s="24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 customFormat="false" ht="15" hidden="false" customHeight="false" outlineLevel="0" collapsed="false">
      <c r="A235" s="23" t="s">
        <v>159</v>
      </c>
      <c r="B235" s="24"/>
      <c r="C235" s="24"/>
      <c r="D235" s="24"/>
      <c r="E235" s="24"/>
      <c r="F235" s="24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 customFormat="false" ht="15" hidden="false" customHeight="false" outlineLevel="0" collapsed="false">
      <c r="A236" s="23" t="s">
        <v>159</v>
      </c>
      <c r="B236" s="24"/>
      <c r="C236" s="24"/>
      <c r="D236" s="24"/>
      <c r="E236" s="24"/>
      <c r="F236" s="24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customFormat="false" ht="15" hidden="false" customHeight="false" outlineLevel="0" collapsed="false">
      <c r="A237" s="23" t="s">
        <v>159</v>
      </c>
      <c r="B237" s="24"/>
      <c r="C237" s="24"/>
      <c r="D237" s="24"/>
      <c r="E237" s="24"/>
      <c r="F237" s="24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 customFormat="false" ht="15" hidden="false" customHeight="false" outlineLevel="0" collapsed="false">
      <c r="A238" s="23" t="s">
        <v>159</v>
      </c>
      <c r="B238" s="24"/>
      <c r="C238" s="24"/>
      <c r="D238" s="24"/>
      <c r="E238" s="24"/>
      <c r="F238" s="24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 customFormat="false" ht="15" hidden="false" customHeight="false" outlineLevel="0" collapsed="false">
      <c r="A239" s="23" t="s">
        <v>159</v>
      </c>
      <c r="B239" s="24"/>
      <c r="C239" s="24"/>
      <c r="D239" s="24"/>
      <c r="E239" s="24"/>
      <c r="F239" s="24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 customFormat="false" ht="15" hidden="false" customHeight="false" outlineLevel="0" collapsed="false">
      <c r="A240" s="23" t="s">
        <v>159</v>
      </c>
      <c r="B240" s="24"/>
      <c r="C240" s="24"/>
      <c r="D240" s="24"/>
      <c r="E240" s="24"/>
      <c r="F240" s="24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 customFormat="false" ht="15" hidden="false" customHeight="false" outlineLevel="0" collapsed="false">
      <c r="A241" s="23" t="s">
        <v>159</v>
      </c>
      <c r="B241" s="24"/>
      <c r="C241" s="24"/>
      <c r="D241" s="24"/>
      <c r="E241" s="24"/>
      <c r="F241" s="24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 customFormat="false" ht="15" hidden="false" customHeight="false" outlineLevel="0" collapsed="false">
      <c r="A242" s="23" t="s">
        <v>159</v>
      </c>
      <c r="B242" s="24"/>
      <c r="C242" s="24"/>
      <c r="D242" s="24"/>
      <c r="E242" s="24"/>
      <c r="F242" s="24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  <row r="243" customFormat="false" ht="15" hidden="false" customHeight="false" outlineLevel="0" collapsed="false">
      <c r="A243" s="23" t="s">
        <v>159</v>
      </c>
      <c r="B243" s="24"/>
      <c r="C243" s="24"/>
      <c r="D243" s="24"/>
      <c r="E243" s="24"/>
      <c r="F243" s="24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 customFormat="false" ht="15" hidden="false" customHeight="false" outlineLevel="0" collapsed="false">
      <c r="A244" s="23" t="s">
        <v>159</v>
      </c>
      <c r="B244" s="24"/>
      <c r="C244" s="24"/>
      <c r="D244" s="24"/>
      <c r="E244" s="24"/>
      <c r="F244" s="24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</row>
    <row r="245" customFormat="false" ht="15" hidden="false" customHeight="false" outlineLevel="0" collapsed="false">
      <c r="A245" s="23" t="s">
        <v>159</v>
      </c>
      <c r="B245" s="24"/>
      <c r="C245" s="24"/>
      <c r="D245" s="24"/>
      <c r="E245" s="24"/>
      <c r="F245" s="24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</row>
    <row r="246" customFormat="false" ht="15" hidden="false" customHeight="false" outlineLevel="0" collapsed="false">
      <c r="A246" s="23" t="s">
        <v>159</v>
      </c>
      <c r="B246" s="24"/>
      <c r="C246" s="24"/>
      <c r="D246" s="24"/>
      <c r="E246" s="24"/>
      <c r="F246" s="24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</row>
    <row r="247" customFormat="false" ht="15" hidden="false" customHeight="false" outlineLevel="0" collapsed="false">
      <c r="A247" s="23" t="s">
        <v>159</v>
      </c>
      <c r="B247" s="24"/>
      <c r="C247" s="24"/>
      <c r="D247" s="24"/>
      <c r="E247" s="24"/>
      <c r="F247" s="24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</row>
    <row r="248" customFormat="false" ht="15" hidden="false" customHeight="false" outlineLevel="0" collapsed="false">
      <c r="A248" s="23" t="s">
        <v>159</v>
      </c>
      <c r="B248" s="24"/>
      <c r="C248" s="24"/>
      <c r="D248" s="24"/>
      <c r="E248" s="24"/>
      <c r="F248" s="24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</row>
    <row r="249" customFormat="false" ht="15" hidden="false" customHeight="false" outlineLevel="0" collapsed="false">
      <c r="A249" s="23" t="s">
        <v>159</v>
      </c>
      <c r="B249" s="24"/>
      <c r="C249" s="24"/>
      <c r="D249" s="24"/>
      <c r="E249" s="24"/>
      <c r="F249" s="24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</row>
    <row r="250" customFormat="false" ht="15" hidden="false" customHeight="false" outlineLevel="0" collapsed="false">
      <c r="A250" s="23" t="s">
        <v>159</v>
      </c>
      <c r="B250" s="24"/>
      <c r="C250" s="24"/>
      <c r="D250" s="24"/>
      <c r="E250" s="24"/>
      <c r="F250" s="24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</row>
    <row r="251" customFormat="false" ht="15" hidden="false" customHeight="false" outlineLevel="0" collapsed="false">
      <c r="A251" s="23" t="s">
        <v>159</v>
      </c>
      <c r="B251" s="24"/>
      <c r="C251" s="24"/>
      <c r="D251" s="24"/>
      <c r="E251" s="24"/>
      <c r="F251" s="24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</row>
    <row r="252" customFormat="false" ht="15" hidden="false" customHeight="false" outlineLevel="0" collapsed="false">
      <c r="A252" s="23" t="s">
        <v>159</v>
      </c>
      <c r="B252" s="24"/>
      <c r="C252" s="24"/>
      <c r="D252" s="24"/>
      <c r="E252" s="24"/>
      <c r="F252" s="24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</row>
    <row r="253" customFormat="false" ht="15" hidden="false" customHeight="false" outlineLevel="0" collapsed="false">
      <c r="A253" s="23" t="s">
        <v>159</v>
      </c>
      <c r="B253" s="24"/>
      <c r="C253" s="24"/>
      <c r="D253" s="24"/>
      <c r="E253" s="24"/>
      <c r="F253" s="24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</row>
    <row r="254" customFormat="false" ht="15" hidden="false" customHeight="false" outlineLevel="0" collapsed="false">
      <c r="A254" s="23" t="s">
        <v>159</v>
      </c>
      <c r="B254" s="24"/>
      <c r="C254" s="24"/>
      <c r="D254" s="24"/>
      <c r="E254" s="24"/>
      <c r="F254" s="24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</row>
    <row r="255" customFormat="false" ht="15" hidden="false" customHeight="false" outlineLevel="0" collapsed="false">
      <c r="A255" s="23" t="s">
        <v>159</v>
      </c>
      <c r="B255" s="24"/>
      <c r="C255" s="24"/>
      <c r="D255" s="24"/>
      <c r="E255" s="24"/>
      <c r="F255" s="24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</row>
    <row r="256" customFormat="false" ht="15" hidden="false" customHeight="false" outlineLevel="0" collapsed="false">
      <c r="A256" s="23" t="s">
        <v>159</v>
      </c>
      <c r="B256" s="24"/>
      <c r="C256" s="24"/>
      <c r="D256" s="24"/>
      <c r="E256" s="24"/>
      <c r="F256" s="24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</row>
    <row r="257" customFormat="false" ht="15" hidden="false" customHeight="false" outlineLevel="0" collapsed="false">
      <c r="A257" s="23" t="s">
        <v>159</v>
      </c>
      <c r="B257" s="24"/>
      <c r="C257" s="24"/>
      <c r="D257" s="24"/>
      <c r="E257" s="24"/>
      <c r="F257" s="24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</row>
    <row r="258" customFormat="false" ht="15" hidden="false" customHeight="false" outlineLevel="0" collapsed="false">
      <c r="A258" s="23" t="s">
        <v>159</v>
      </c>
      <c r="B258" s="24"/>
      <c r="C258" s="24"/>
      <c r="D258" s="24"/>
      <c r="E258" s="24"/>
      <c r="F258" s="24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</row>
    <row r="259" customFormat="false" ht="15" hidden="false" customHeight="false" outlineLevel="0" collapsed="false">
      <c r="A259" s="23" t="s">
        <v>159</v>
      </c>
      <c r="B259" s="24"/>
      <c r="C259" s="24"/>
      <c r="D259" s="24"/>
      <c r="E259" s="24"/>
      <c r="F259" s="24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</row>
    <row r="260" customFormat="false" ht="15" hidden="false" customHeight="false" outlineLevel="0" collapsed="false">
      <c r="A260" s="23" t="s">
        <v>159</v>
      </c>
      <c r="B260" s="24"/>
      <c r="C260" s="24"/>
      <c r="D260" s="24"/>
      <c r="E260" s="24"/>
      <c r="F260" s="24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</row>
    <row r="261" customFormat="false" ht="15" hidden="false" customHeight="false" outlineLevel="0" collapsed="false">
      <c r="A261" s="23" t="s">
        <v>159</v>
      </c>
      <c r="B261" s="24"/>
      <c r="C261" s="24"/>
      <c r="D261" s="24"/>
      <c r="E261" s="24"/>
      <c r="F261" s="24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</row>
    <row r="262" customFormat="false" ht="15" hidden="false" customHeight="false" outlineLevel="0" collapsed="false">
      <c r="A262" s="23" t="s">
        <v>159</v>
      </c>
      <c r="B262" s="24"/>
      <c r="C262" s="24"/>
      <c r="D262" s="24"/>
      <c r="E262" s="24"/>
      <c r="F262" s="24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</row>
    <row r="263" customFormat="false" ht="15" hidden="false" customHeight="false" outlineLevel="0" collapsed="false">
      <c r="A263" s="23" t="s">
        <v>159</v>
      </c>
      <c r="B263" s="24"/>
      <c r="C263" s="24"/>
      <c r="D263" s="24"/>
      <c r="E263" s="24"/>
      <c r="F263" s="24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</row>
    <row r="264" customFormat="false" ht="15" hidden="false" customHeight="false" outlineLevel="0" collapsed="false">
      <c r="A264" s="23" t="s">
        <v>159</v>
      </c>
      <c r="B264" s="24"/>
      <c r="C264" s="24"/>
      <c r="D264" s="24"/>
      <c r="E264" s="24"/>
      <c r="F264" s="24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</row>
    <row r="265" customFormat="false" ht="15" hidden="false" customHeight="false" outlineLevel="0" collapsed="false">
      <c r="A265" s="23" t="s">
        <v>159</v>
      </c>
      <c r="B265" s="24"/>
      <c r="C265" s="24"/>
      <c r="D265" s="24"/>
      <c r="E265" s="24"/>
      <c r="F265" s="24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</row>
    <row r="266" customFormat="false" ht="15" hidden="false" customHeight="false" outlineLevel="0" collapsed="false">
      <c r="A266" s="23" t="s">
        <v>159</v>
      </c>
      <c r="B266" s="24"/>
      <c r="C266" s="24"/>
      <c r="D266" s="24"/>
      <c r="E266" s="24"/>
      <c r="F266" s="24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</row>
    <row r="267" customFormat="false" ht="15" hidden="false" customHeight="false" outlineLevel="0" collapsed="false">
      <c r="A267" s="23" t="s">
        <v>159</v>
      </c>
      <c r="B267" s="24"/>
      <c r="C267" s="24"/>
      <c r="D267" s="24"/>
      <c r="E267" s="24"/>
      <c r="F267" s="24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</row>
    <row r="268" customFormat="false" ht="15" hidden="false" customHeight="false" outlineLevel="0" collapsed="false">
      <c r="A268" s="23" t="s">
        <v>159</v>
      </c>
      <c r="B268" s="24"/>
      <c r="C268" s="24"/>
      <c r="D268" s="24"/>
      <c r="E268" s="24"/>
      <c r="F268" s="24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</row>
    <row r="269" customFormat="false" ht="15" hidden="false" customHeight="false" outlineLevel="0" collapsed="false">
      <c r="A269" s="23" t="s">
        <v>159</v>
      </c>
      <c r="B269" s="24"/>
      <c r="C269" s="24"/>
      <c r="D269" s="24"/>
      <c r="E269" s="24"/>
      <c r="F269" s="24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</row>
    <row r="270" customFormat="false" ht="15" hidden="false" customHeight="false" outlineLevel="0" collapsed="false">
      <c r="A270" s="23" t="s">
        <v>159</v>
      </c>
      <c r="B270" s="24"/>
      <c r="C270" s="24"/>
      <c r="D270" s="24"/>
      <c r="E270" s="24"/>
      <c r="F270" s="24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</row>
    <row r="271" customFormat="false" ht="15" hidden="false" customHeight="false" outlineLevel="0" collapsed="false">
      <c r="A271" s="23" t="s">
        <v>159</v>
      </c>
      <c r="B271" s="24"/>
      <c r="C271" s="24"/>
      <c r="D271" s="24"/>
      <c r="E271" s="24"/>
      <c r="F271" s="24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</row>
    <row r="272" customFormat="false" ht="15" hidden="false" customHeight="false" outlineLevel="0" collapsed="false">
      <c r="A272" s="23" t="s">
        <v>159</v>
      </c>
      <c r="B272" s="24"/>
      <c r="C272" s="24"/>
      <c r="D272" s="24"/>
      <c r="E272" s="24"/>
      <c r="F272" s="24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</row>
    <row r="273" customFormat="false" ht="15" hidden="false" customHeight="false" outlineLevel="0" collapsed="false">
      <c r="A273" s="23" t="s">
        <v>159</v>
      </c>
      <c r="B273" s="24"/>
      <c r="C273" s="24"/>
      <c r="D273" s="24"/>
      <c r="E273" s="24"/>
      <c r="F273" s="24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 customFormat="false" ht="15" hidden="false" customHeight="false" outlineLevel="0" collapsed="false">
      <c r="A274" s="23" t="s">
        <v>159</v>
      </c>
      <c r="B274" s="24"/>
      <c r="C274" s="24"/>
      <c r="D274" s="24"/>
      <c r="E274" s="24"/>
      <c r="F274" s="24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</row>
    <row r="275" customFormat="false" ht="15" hidden="false" customHeight="false" outlineLevel="0" collapsed="false">
      <c r="A275" s="23" t="s">
        <v>159</v>
      </c>
      <c r="B275" s="24"/>
      <c r="C275" s="24"/>
      <c r="D275" s="24"/>
      <c r="E275" s="24"/>
      <c r="F275" s="24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</row>
    <row r="276" customFormat="false" ht="15" hidden="false" customHeight="false" outlineLevel="0" collapsed="false">
      <c r="A276" s="23" t="s">
        <v>159</v>
      </c>
      <c r="B276" s="24"/>
      <c r="C276" s="24"/>
      <c r="D276" s="24"/>
      <c r="E276" s="24"/>
      <c r="F276" s="24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</row>
    <row r="277" customFormat="false" ht="15" hidden="false" customHeight="false" outlineLevel="0" collapsed="false">
      <c r="A277" s="23" t="s">
        <v>159</v>
      </c>
      <c r="B277" s="24"/>
      <c r="C277" s="24"/>
      <c r="D277" s="24"/>
      <c r="E277" s="24"/>
      <c r="F277" s="24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</row>
    <row r="278" customFormat="false" ht="15" hidden="false" customHeight="false" outlineLevel="0" collapsed="false">
      <c r="A278" s="23" t="s">
        <v>159</v>
      </c>
      <c r="B278" s="24"/>
      <c r="C278" s="24"/>
      <c r="D278" s="24"/>
      <c r="E278" s="24"/>
      <c r="F278" s="24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</row>
    <row r="279" customFormat="false" ht="15" hidden="false" customHeight="false" outlineLevel="0" collapsed="false">
      <c r="A279" s="23" t="s">
        <v>159</v>
      </c>
      <c r="B279" s="24"/>
      <c r="C279" s="24"/>
      <c r="D279" s="24"/>
      <c r="E279" s="24"/>
      <c r="F279" s="24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</row>
    <row r="280" customFormat="false" ht="15" hidden="false" customHeight="false" outlineLevel="0" collapsed="false">
      <c r="A280" s="23" t="s">
        <v>159</v>
      </c>
      <c r="B280" s="24"/>
      <c r="C280" s="24"/>
      <c r="D280" s="24"/>
      <c r="E280" s="24"/>
      <c r="F280" s="24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</row>
    <row r="281" customFormat="false" ht="15" hidden="false" customHeight="false" outlineLevel="0" collapsed="false">
      <c r="A281" s="23" t="s">
        <v>159</v>
      </c>
      <c r="B281" s="24"/>
      <c r="C281" s="24"/>
      <c r="D281" s="24"/>
      <c r="E281" s="24"/>
      <c r="F281" s="24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</row>
    <row r="282" customFormat="false" ht="15" hidden="false" customHeight="false" outlineLevel="0" collapsed="false">
      <c r="A282" s="23" t="s">
        <v>159</v>
      </c>
      <c r="B282" s="24"/>
      <c r="C282" s="24"/>
      <c r="D282" s="24"/>
      <c r="E282" s="24"/>
      <c r="F282" s="24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</row>
    <row r="283" customFormat="false" ht="15" hidden="false" customHeight="false" outlineLevel="0" collapsed="false">
      <c r="A283" s="23" t="s">
        <v>159</v>
      </c>
      <c r="B283" s="24"/>
      <c r="C283" s="24"/>
      <c r="D283" s="24"/>
      <c r="E283" s="24"/>
      <c r="F283" s="24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</row>
    <row r="284" customFormat="false" ht="15" hidden="false" customHeight="false" outlineLevel="0" collapsed="false">
      <c r="A284" s="23" t="s">
        <v>159</v>
      </c>
      <c r="B284" s="24"/>
      <c r="C284" s="24"/>
      <c r="D284" s="24"/>
      <c r="E284" s="24"/>
      <c r="F284" s="24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</row>
    <row r="285" customFormat="false" ht="15" hidden="false" customHeight="false" outlineLevel="0" collapsed="false">
      <c r="A285" s="23" t="s">
        <v>159</v>
      </c>
      <c r="B285" s="24"/>
      <c r="C285" s="24"/>
      <c r="D285" s="24"/>
      <c r="E285" s="24"/>
      <c r="F285" s="24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</row>
    <row r="286" customFormat="false" ht="15" hidden="false" customHeight="false" outlineLevel="0" collapsed="false">
      <c r="A286" s="23" t="s">
        <v>159</v>
      </c>
      <c r="B286" s="24"/>
      <c r="C286" s="24"/>
      <c r="D286" s="24"/>
      <c r="E286" s="24"/>
      <c r="F286" s="24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</row>
    <row r="287" customFormat="false" ht="15" hidden="false" customHeight="false" outlineLevel="0" collapsed="false">
      <c r="A287" s="23" t="s">
        <v>159</v>
      </c>
      <c r="B287" s="24"/>
      <c r="C287" s="24"/>
      <c r="D287" s="24"/>
      <c r="E287" s="24"/>
      <c r="F287" s="24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</row>
    <row r="288" customFormat="false" ht="15" hidden="false" customHeight="false" outlineLevel="0" collapsed="false">
      <c r="A288" s="23" t="s">
        <v>159</v>
      </c>
      <c r="B288" s="24"/>
      <c r="C288" s="24"/>
      <c r="D288" s="24"/>
      <c r="E288" s="24"/>
      <c r="F288" s="24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</row>
    <row r="289" customFormat="false" ht="15" hidden="false" customHeight="false" outlineLevel="0" collapsed="false">
      <c r="A289" s="23" t="s">
        <v>159</v>
      </c>
      <c r="B289" s="24"/>
      <c r="C289" s="24"/>
      <c r="D289" s="24"/>
      <c r="E289" s="24"/>
      <c r="F289" s="24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</row>
    <row r="290" customFormat="false" ht="15" hidden="false" customHeight="false" outlineLevel="0" collapsed="false">
      <c r="A290" s="23" t="s">
        <v>159</v>
      </c>
      <c r="B290" s="24"/>
      <c r="C290" s="24"/>
      <c r="D290" s="24"/>
      <c r="E290" s="24"/>
      <c r="F290" s="24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</row>
    <row r="291" customFormat="false" ht="15" hidden="false" customHeight="false" outlineLevel="0" collapsed="false">
      <c r="A291" s="23" t="s">
        <v>159</v>
      </c>
      <c r="B291" s="24"/>
      <c r="C291" s="24"/>
      <c r="D291" s="24"/>
      <c r="E291" s="24"/>
      <c r="F291" s="24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</row>
    <row r="292" customFormat="false" ht="15" hidden="false" customHeight="false" outlineLevel="0" collapsed="false">
      <c r="A292" s="23" t="s">
        <v>159</v>
      </c>
      <c r="B292" s="24"/>
      <c r="C292" s="24"/>
      <c r="D292" s="24"/>
      <c r="E292" s="24"/>
      <c r="F292" s="24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</row>
    <row r="293" customFormat="false" ht="15" hidden="false" customHeight="false" outlineLevel="0" collapsed="false">
      <c r="A293" s="23" t="s">
        <v>159</v>
      </c>
      <c r="B293" s="24"/>
      <c r="C293" s="24"/>
      <c r="D293" s="24"/>
      <c r="E293" s="24"/>
      <c r="F293" s="24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</row>
    <row r="294" customFormat="false" ht="15" hidden="false" customHeight="false" outlineLevel="0" collapsed="false">
      <c r="A294" s="23" t="s">
        <v>159</v>
      </c>
      <c r="B294" s="24"/>
      <c r="C294" s="24"/>
      <c r="D294" s="24"/>
      <c r="E294" s="24"/>
      <c r="F294" s="24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</row>
    <row r="295" customFormat="false" ht="15" hidden="false" customHeight="false" outlineLevel="0" collapsed="false">
      <c r="A295" s="23" t="s">
        <v>159</v>
      </c>
      <c r="B295" s="24"/>
      <c r="C295" s="24"/>
      <c r="D295" s="24"/>
      <c r="E295" s="24"/>
      <c r="F295" s="24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</row>
    <row r="296" customFormat="false" ht="15" hidden="false" customHeight="false" outlineLevel="0" collapsed="false">
      <c r="A296" s="23" t="s">
        <v>159</v>
      </c>
      <c r="B296" s="24"/>
      <c r="C296" s="24"/>
      <c r="D296" s="24"/>
      <c r="E296" s="24"/>
      <c r="F296" s="24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</row>
    <row r="297" customFormat="false" ht="15" hidden="false" customHeight="false" outlineLevel="0" collapsed="false">
      <c r="A297" s="23" t="s">
        <v>159</v>
      </c>
      <c r="B297" s="24"/>
      <c r="C297" s="24"/>
      <c r="D297" s="24"/>
      <c r="E297" s="24"/>
      <c r="F297" s="24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</row>
    <row r="298" customFormat="false" ht="15" hidden="false" customHeight="false" outlineLevel="0" collapsed="false">
      <c r="A298" s="23" t="s">
        <v>159</v>
      </c>
      <c r="B298" s="24"/>
      <c r="C298" s="24"/>
      <c r="D298" s="24"/>
      <c r="E298" s="24"/>
      <c r="F298" s="24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</row>
    <row r="299" customFormat="false" ht="15" hidden="false" customHeight="false" outlineLevel="0" collapsed="false">
      <c r="A299" s="23" t="s">
        <v>159</v>
      </c>
      <c r="B299" s="24"/>
      <c r="C299" s="24"/>
      <c r="D299" s="24"/>
      <c r="E299" s="24"/>
      <c r="F299" s="24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</row>
    <row r="300" customFormat="false" ht="15" hidden="false" customHeight="false" outlineLevel="0" collapsed="false">
      <c r="A300" s="23" t="s">
        <v>159</v>
      </c>
      <c r="B300" s="24"/>
      <c r="C300" s="24"/>
      <c r="D300" s="24"/>
      <c r="E300" s="24"/>
      <c r="F300" s="24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</row>
    <row r="301" customFormat="false" ht="15" hidden="false" customHeight="false" outlineLevel="0" collapsed="false">
      <c r="A301" s="23" t="s">
        <v>159</v>
      </c>
      <c r="B301" s="24"/>
      <c r="C301" s="24"/>
      <c r="D301" s="24"/>
      <c r="E301" s="24"/>
      <c r="F301" s="24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</row>
    <row r="302" customFormat="false" ht="15" hidden="false" customHeight="false" outlineLevel="0" collapsed="false">
      <c r="A302" s="23" t="s">
        <v>159</v>
      </c>
      <c r="B302" s="24"/>
      <c r="C302" s="24"/>
      <c r="D302" s="24"/>
      <c r="E302" s="24"/>
      <c r="F302" s="24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</row>
    <row r="303" customFormat="false" ht="15" hidden="false" customHeight="false" outlineLevel="0" collapsed="false">
      <c r="A303" s="23" t="s">
        <v>159</v>
      </c>
      <c r="B303" s="24"/>
      <c r="C303" s="24"/>
      <c r="D303" s="24"/>
      <c r="E303" s="24"/>
      <c r="F303" s="24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</row>
    <row r="304" customFormat="false" ht="15" hidden="false" customHeight="false" outlineLevel="0" collapsed="false">
      <c r="A304" s="23" t="s">
        <v>159</v>
      </c>
      <c r="B304" s="24"/>
      <c r="C304" s="24"/>
      <c r="D304" s="24"/>
      <c r="E304" s="24"/>
      <c r="F304" s="24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</row>
    <row r="305" customFormat="false" ht="15" hidden="false" customHeight="false" outlineLevel="0" collapsed="false">
      <c r="A305" s="23" t="s">
        <v>159</v>
      </c>
      <c r="B305" s="24"/>
      <c r="C305" s="24"/>
      <c r="D305" s="24"/>
      <c r="E305" s="24"/>
      <c r="F305" s="24"/>
      <c r="G305" s="24"/>
      <c r="H305" s="25"/>
      <c r="I305" s="25"/>
      <c r="J305" s="25"/>
      <c r="K305" s="25"/>
      <c r="L305" s="25"/>
      <c r="M305" s="25"/>
      <c r="N305" s="25"/>
      <c r="O305" s="25"/>
      <c r="P305" s="25"/>
      <c r="Q305" s="25"/>
    </row>
    <row r="306" customFormat="false" ht="15" hidden="false" customHeight="false" outlineLevel="0" collapsed="false">
      <c r="A306" s="23" t="s">
        <v>159</v>
      </c>
      <c r="B306" s="24"/>
      <c r="C306" s="24"/>
      <c r="D306" s="24"/>
      <c r="E306" s="24"/>
      <c r="F306" s="24"/>
      <c r="G306" s="24"/>
      <c r="H306" s="25"/>
      <c r="I306" s="25"/>
      <c r="J306" s="25"/>
      <c r="K306" s="25"/>
      <c r="L306" s="25"/>
      <c r="M306" s="25"/>
      <c r="N306" s="25"/>
      <c r="O306" s="25"/>
      <c r="P306" s="25"/>
      <c r="Q306" s="25"/>
    </row>
    <row r="307" customFormat="false" ht="15" hidden="false" customHeight="false" outlineLevel="0" collapsed="false">
      <c r="A307" s="23" t="s">
        <v>159</v>
      </c>
      <c r="B307" s="24"/>
      <c r="C307" s="24"/>
      <c r="D307" s="24"/>
      <c r="E307" s="24"/>
      <c r="F307" s="24"/>
      <c r="G307" s="24"/>
      <c r="H307" s="25"/>
      <c r="I307" s="25"/>
      <c r="J307" s="25"/>
      <c r="K307" s="25"/>
      <c r="L307" s="25"/>
      <c r="M307" s="25"/>
      <c r="N307" s="25"/>
      <c r="O307" s="25"/>
      <c r="P307" s="25"/>
      <c r="Q307" s="25"/>
    </row>
    <row r="308" customFormat="false" ht="15" hidden="false" customHeight="false" outlineLevel="0" collapsed="false">
      <c r="A308" s="23" t="s">
        <v>159</v>
      </c>
      <c r="B308" s="24"/>
      <c r="C308" s="24"/>
      <c r="D308" s="24"/>
      <c r="E308" s="24"/>
      <c r="F308" s="24"/>
      <c r="G308" s="24"/>
      <c r="H308" s="25"/>
      <c r="I308" s="25"/>
      <c r="J308" s="25"/>
      <c r="K308" s="25"/>
      <c r="L308" s="25"/>
      <c r="M308" s="25"/>
      <c r="N308" s="25"/>
      <c r="O308" s="25"/>
      <c r="P308" s="25"/>
      <c r="Q308" s="25"/>
    </row>
    <row r="309" customFormat="false" ht="15" hidden="false" customHeight="false" outlineLevel="0" collapsed="false">
      <c r="A309" s="23" t="s">
        <v>159</v>
      </c>
      <c r="B309" s="24"/>
      <c r="C309" s="24"/>
      <c r="D309" s="24"/>
      <c r="E309" s="24"/>
      <c r="F309" s="24"/>
      <c r="G309" s="24"/>
      <c r="H309" s="25"/>
      <c r="I309" s="25"/>
      <c r="J309" s="25"/>
      <c r="K309" s="25"/>
      <c r="L309" s="25"/>
      <c r="M309" s="25"/>
      <c r="N309" s="25"/>
      <c r="O309" s="25"/>
      <c r="P309" s="25"/>
      <c r="Q309" s="25"/>
    </row>
    <row r="310" customFormat="false" ht="15" hidden="false" customHeight="false" outlineLevel="0" collapsed="false">
      <c r="A310" s="23" t="s">
        <v>159</v>
      </c>
      <c r="B310" s="24"/>
      <c r="C310" s="24"/>
      <c r="D310" s="24"/>
      <c r="E310" s="24"/>
      <c r="F310" s="24"/>
      <c r="G310" s="24"/>
      <c r="H310" s="25"/>
      <c r="I310" s="25"/>
      <c r="J310" s="25"/>
      <c r="K310" s="25"/>
      <c r="L310" s="25"/>
      <c r="M310" s="25"/>
      <c r="N310" s="25"/>
      <c r="O310" s="25"/>
      <c r="P310" s="25"/>
      <c r="Q310" s="25"/>
    </row>
    <row r="311" customFormat="false" ht="15" hidden="false" customHeight="false" outlineLevel="0" collapsed="false">
      <c r="A311" s="23" t="s">
        <v>159</v>
      </c>
      <c r="B311" s="24"/>
      <c r="C311" s="24"/>
      <c r="D311" s="24"/>
      <c r="E311" s="24"/>
      <c r="F311" s="24"/>
      <c r="G311" s="24"/>
      <c r="H311" s="25"/>
      <c r="I311" s="25"/>
      <c r="J311" s="25"/>
      <c r="K311" s="25"/>
      <c r="L311" s="25"/>
      <c r="M311" s="25"/>
      <c r="N311" s="25"/>
      <c r="O311" s="25"/>
      <c r="P311" s="25"/>
      <c r="Q311" s="25"/>
    </row>
    <row r="312" customFormat="false" ht="15" hidden="false" customHeight="false" outlineLevel="0" collapsed="false">
      <c r="A312" s="23" t="s">
        <v>159</v>
      </c>
      <c r="B312" s="24"/>
      <c r="C312" s="24"/>
      <c r="D312" s="24"/>
      <c r="E312" s="24"/>
      <c r="F312" s="24"/>
      <c r="G312" s="24"/>
      <c r="H312" s="25"/>
      <c r="I312" s="25"/>
      <c r="J312" s="25"/>
      <c r="K312" s="25"/>
      <c r="L312" s="25"/>
      <c r="M312" s="25"/>
      <c r="N312" s="25"/>
      <c r="O312" s="25"/>
      <c r="P312" s="25"/>
      <c r="Q312" s="25"/>
    </row>
    <row r="313" customFormat="false" ht="15" hidden="false" customHeight="false" outlineLevel="0" collapsed="false">
      <c r="A313" s="23" t="s">
        <v>159</v>
      </c>
      <c r="B313" s="24"/>
      <c r="C313" s="24"/>
      <c r="D313" s="24"/>
      <c r="E313" s="24"/>
      <c r="F313" s="24"/>
      <c r="G313" s="24"/>
      <c r="H313" s="25"/>
      <c r="I313" s="25"/>
      <c r="J313" s="25"/>
      <c r="K313" s="25"/>
      <c r="L313" s="25"/>
      <c r="M313" s="25"/>
      <c r="N313" s="25"/>
      <c r="O313" s="25"/>
      <c r="P313" s="25"/>
      <c r="Q313" s="25"/>
    </row>
    <row r="314" customFormat="false" ht="15" hidden="false" customHeight="false" outlineLevel="0" collapsed="false">
      <c r="A314" s="23" t="s">
        <v>159</v>
      </c>
      <c r="B314" s="24"/>
      <c r="C314" s="24"/>
      <c r="D314" s="24"/>
      <c r="E314" s="24"/>
      <c r="F314" s="24"/>
      <c r="G314" s="24"/>
      <c r="H314" s="25"/>
      <c r="I314" s="25"/>
      <c r="J314" s="25"/>
      <c r="K314" s="25"/>
      <c r="L314" s="25"/>
      <c r="M314" s="25"/>
      <c r="N314" s="25"/>
      <c r="O314" s="25"/>
      <c r="P314" s="25"/>
      <c r="Q314" s="25"/>
    </row>
    <row r="315" customFormat="false" ht="15" hidden="false" customHeight="false" outlineLevel="0" collapsed="false">
      <c r="A315" s="23" t="s">
        <v>159</v>
      </c>
      <c r="B315" s="24"/>
      <c r="C315" s="24"/>
      <c r="D315" s="24"/>
      <c r="E315" s="24"/>
      <c r="F315" s="24"/>
      <c r="G315" s="24"/>
      <c r="H315" s="25"/>
      <c r="I315" s="25"/>
      <c r="J315" s="25"/>
      <c r="K315" s="25"/>
      <c r="L315" s="25"/>
      <c r="M315" s="25"/>
      <c r="N315" s="25"/>
      <c r="O315" s="25"/>
      <c r="P315" s="25"/>
      <c r="Q315" s="25"/>
    </row>
    <row r="316" customFormat="false" ht="15" hidden="false" customHeight="false" outlineLevel="0" collapsed="false">
      <c r="A316" s="23" t="s">
        <v>159</v>
      </c>
      <c r="B316" s="24"/>
      <c r="C316" s="24"/>
      <c r="D316" s="24"/>
      <c r="E316" s="24"/>
      <c r="F316" s="24"/>
      <c r="G316" s="24"/>
      <c r="H316" s="25"/>
      <c r="I316" s="25"/>
      <c r="J316" s="25"/>
      <c r="K316" s="25"/>
      <c r="L316" s="25"/>
      <c r="M316" s="25"/>
      <c r="N316" s="25"/>
      <c r="O316" s="25"/>
      <c r="P316" s="25"/>
      <c r="Q316" s="25"/>
    </row>
    <row r="317" customFormat="false" ht="15" hidden="false" customHeight="false" outlineLevel="0" collapsed="false">
      <c r="A317" s="23" t="s">
        <v>159</v>
      </c>
      <c r="B317" s="24"/>
      <c r="C317" s="24"/>
      <c r="D317" s="24"/>
      <c r="E317" s="24"/>
      <c r="F317" s="24"/>
      <c r="G317" s="24"/>
      <c r="H317" s="25"/>
      <c r="I317" s="25"/>
      <c r="J317" s="25"/>
      <c r="K317" s="25"/>
      <c r="L317" s="25"/>
      <c r="M317" s="25"/>
      <c r="N317" s="25"/>
      <c r="O317" s="25"/>
      <c r="P317" s="25"/>
      <c r="Q317" s="25"/>
    </row>
    <row r="318" customFormat="false" ht="15" hidden="false" customHeight="false" outlineLevel="0" collapsed="false">
      <c r="A318" s="23" t="s">
        <v>159</v>
      </c>
      <c r="B318" s="24"/>
      <c r="C318" s="24"/>
      <c r="D318" s="24"/>
      <c r="E318" s="24"/>
      <c r="F318" s="24"/>
      <c r="G318" s="24"/>
      <c r="H318" s="25"/>
      <c r="I318" s="25"/>
      <c r="J318" s="25"/>
      <c r="K318" s="25"/>
      <c r="L318" s="25"/>
      <c r="M318" s="25"/>
      <c r="N318" s="25"/>
      <c r="O318" s="25"/>
      <c r="P318" s="25"/>
      <c r="Q318" s="25"/>
    </row>
    <row r="319" customFormat="false" ht="15" hidden="false" customHeight="false" outlineLevel="0" collapsed="false">
      <c r="A319" s="23" t="s">
        <v>159</v>
      </c>
      <c r="B319" s="24"/>
      <c r="C319" s="24"/>
      <c r="D319" s="24"/>
      <c r="E319" s="24"/>
      <c r="F319" s="24"/>
      <c r="G319" s="24"/>
      <c r="H319" s="25"/>
      <c r="I319" s="25"/>
      <c r="J319" s="25"/>
      <c r="K319" s="25"/>
      <c r="L319" s="25"/>
      <c r="M319" s="25"/>
      <c r="N319" s="25"/>
      <c r="O319" s="25"/>
      <c r="P319" s="25"/>
      <c r="Q319" s="25"/>
    </row>
    <row r="320" customFormat="false" ht="15" hidden="false" customHeight="false" outlineLevel="0" collapsed="false">
      <c r="A320" s="23" t="s">
        <v>159</v>
      </c>
      <c r="B320" s="24"/>
      <c r="C320" s="24"/>
      <c r="D320" s="24"/>
      <c r="E320" s="24"/>
      <c r="F320" s="24"/>
      <c r="G320" s="24"/>
      <c r="H320" s="25"/>
      <c r="I320" s="25"/>
      <c r="J320" s="25"/>
      <c r="K320" s="25"/>
      <c r="L320" s="25"/>
      <c r="M320" s="25"/>
      <c r="N320" s="25"/>
      <c r="O320" s="25"/>
      <c r="P320" s="25"/>
      <c r="Q320" s="25"/>
    </row>
    <row r="321" customFormat="false" ht="15" hidden="false" customHeight="false" outlineLevel="0" collapsed="false">
      <c r="A321" s="23" t="s">
        <v>159</v>
      </c>
      <c r="B321" s="24"/>
      <c r="C321" s="24"/>
      <c r="D321" s="24"/>
      <c r="E321" s="24"/>
      <c r="F321" s="24"/>
      <c r="G321" s="24"/>
      <c r="H321" s="25"/>
      <c r="I321" s="25"/>
      <c r="J321" s="25"/>
      <c r="K321" s="25"/>
      <c r="L321" s="25"/>
      <c r="M321" s="25"/>
      <c r="N321" s="25"/>
      <c r="O321" s="25"/>
      <c r="P321" s="25"/>
      <c r="Q321" s="25"/>
    </row>
    <row r="322" customFormat="false" ht="15" hidden="false" customHeight="false" outlineLevel="0" collapsed="false">
      <c r="A322" s="23" t="s">
        <v>159</v>
      </c>
      <c r="B322" s="24"/>
      <c r="C322" s="24"/>
      <c r="D322" s="24"/>
      <c r="E322" s="24"/>
      <c r="F322" s="24"/>
      <c r="G322" s="24"/>
      <c r="H322" s="25"/>
      <c r="I322" s="25"/>
      <c r="J322" s="25"/>
      <c r="K322" s="25"/>
      <c r="L322" s="25"/>
      <c r="M322" s="25"/>
      <c r="N322" s="25"/>
      <c r="O322" s="25"/>
      <c r="P322" s="25"/>
      <c r="Q322" s="25"/>
    </row>
    <row r="323" customFormat="false" ht="15" hidden="false" customHeight="false" outlineLevel="0" collapsed="false">
      <c r="A323" s="23" t="s">
        <v>159</v>
      </c>
      <c r="B323" s="24"/>
      <c r="C323" s="24"/>
      <c r="D323" s="24"/>
      <c r="E323" s="24"/>
      <c r="F323" s="24"/>
      <c r="G323" s="24"/>
      <c r="H323" s="25"/>
      <c r="I323" s="25"/>
      <c r="J323" s="25"/>
      <c r="K323" s="25"/>
      <c r="L323" s="25"/>
      <c r="M323" s="25"/>
      <c r="N323" s="25"/>
      <c r="O323" s="25"/>
      <c r="P323" s="25"/>
      <c r="Q323" s="25"/>
    </row>
    <row r="324" customFormat="false" ht="15" hidden="false" customHeight="false" outlineLevel="0" collapsed="false">
      <c r="A324" s="23" t="s">
        <v>159</v>
      </c>
      <c r="B324" s="24"/>
      <c r="C324" s="24"/>
      <c r="D324" s="24"/>
      <c r="E324" s="24"/>
      <c r="F324" s="24"/>
      <c r="G324" s="24"/>
      <c r="H324" s="25"/>
      <c r="I324" s="25"/>
      <c r="J324" s="25"/>
      <c r="K324" s="25"/>
      <c r="L324" s="25"/>
      <c r="M324" s="25"/>
      <c r="N324" s="25"/>
      <c r="O324" s="25"/>
      <c r="P324" s="25"/>
      <c r="Q324" s="25"/>
    </row>
    <row r="325" customFormat="false" ht="15" hidden="false" customHeight="false" outlineLevel="0" collapsed="false">
      <c r="A325" s="23" t="s">
        <v>159</v>
      </c>
      <c r="B325" s="24"/>
      <c r="C325" s="24"/>
      <c r="D325" s="24"/>
      <c r="E325" s="24"/>
      <c r="F325" s="24"/>
      <c r="G325" s="24"/>
      <c r="H325" s="25"/>
      <c r="I325" s="25"/>
      <c r="J325" s="25"/>
      <c r="K325" s="25"/>
      <c r="L325" s="25"/>
      <c r="M325" s="25"/>
      <c r="N325" s="25"/>
      <c r="O325" s="25"/>
      <c r="P325" s="25"/>
      <c r="Q325" s="25"/>
    </row>
    <row r="326" customFormat="false" ht="15" hidden="false" customHeight="false" outlineLevel="0" collapsed="false">
      <c r="A326" s="23" t="s">
        <v>159</v>
      </c>
      <c r="B326" s="24"/>
      <c r="C326" s="24"/>
      <c r="D326" s="24"/>
      <c r="E326" s="24"/>
      <c r="F326" s="24"/>
      <c r="G326" s="24"/>
      <c r="H326" s="25"/>
      <c r="I326" s="25"/>
      <c r="J326" s="25"/>
      <c r="K326" s="25"/>
      <c r="L326" s="25"/>
      <c r="M326" s="25"/>
      <c r="N326" s="25"/>
      <c r="O326" s="25"/>
      <c r="P326" s="25"/>
      <c r="Q326" s="25"/>
    </row>
    <row r="327" customFormat="false" ht="15" hidden="false" customHeight="false" outlineLevel="0" collapsed="false">
      <c r="A327" s="23" t="s">
        <v>159</v>
      </c>
      <c r="B327" s="24"/>
      <c r="C327" s="24"/>
      <c r="D327" s="24"/>
      <c r="E327" s="24"/>
      <c r="F327" s="24"/>
      <c r="G327" s="24"/>
      <c r="H327" s="25"/>
      <c r="I327" s="25"/>
      <c r="J327" s="25"/>
      <c r="K327" s="25"/>
      <c r="L327" s="25"/>
      <c r="M327" s="25"/>
      <c r="N327" s="25"/>
      <c r="O327" s="25"/>
      <c r="P327" s="25"/>
      <c r="Q327" s="25"/>
    </row>
    <row r="328" customFormat="false" ht="15" hidden="false" customHeight="false" outlineLevel="0" collapsed="false">
      <c r="A328" s="23" t="s">
        <v>159</v>
      </c>
      <c r="B328" s="24"/>
      <c r="C328" s="24"/>
      <c r="D328" s="24"/>
      <c r="E328" s="24"/>
      <c r="F328" s="24"/>
      <c r="G328" s="24"/>
      <c r="H328" s="25"/>
      <c r="I328" s="25"/>
      <c r="J328" s="25"/>
      <c r="K328" s="25"/>
      <c r="L328" s="25"/>
      <c r="M328" s="25"/>
      <c r="N328" s="25"/>
      <c r="O328" s="25"/>
      <c r="P328" s="25"/>
      <c r="Q328" s="25"/>
    </row>
    <row r="329" customFormat="false" ht="15" hidden="false" customHeight="false" outlineLevel="0" collapsed="false">
      <c r="A329" s="23" t="s">
        <v>159</v>
      </c>
      <c r="B329" s="24"/>
      <c r="C329" s="24"/>
      <c r="D329" s="24"/>
      <c r="E329" s="24"/>
      <c r="F329" s="24"/>
      <c r="G329" s="24"/>
      <c r="H329" s="25"/>
      <c r="I329" s="25"/>
      <c r="J329" s="25"/>
      <c r="K329" s="25"/>
      <c r="L329" s="25"/>
      <c r="M329" s="25"/>
      <c r="N329" s="25"/>
      <c r="O329" s="25"/>
      <c r="P329" s="25"/>
      <c r="Q329" s="25"/>
    </row>
    <row r="330" customFormat="false" ht="15" hidden="false" customHeight="false" outlineLevel="0" collapsed="false">
      <c r="A330" s="23" t="s">
        <v>159</v>
      </c>
      <c r="B330" s="24"/>
      <c r="C330" s="24"/>
      <c r="D330" s="24"/>
      <c r="E330" s="24"/>
      <c r="F330" s="24"/>
      <c r="G330" s="24"/>
      <c r="H330" s="25"/>
      <c r="I330" s="25"/>
      <c r="J330" s="25"/>
      <c r="K330" s="25"/>
      <c r="L330" s="25"/>
      <c r="M330" s="25"/>
      <c r="N330" s="25"/>
      <c r="O330" s="25"/>
      <c r="P330" s="25"/>
      <c r="Q330" s="25"/>
    </row>
    <row r="331" customFormat="false" ht="15" hidden="false" customHeight="false" outlineLevel="0" collapsed="false">
      <c r="A331" s="23" t="s">
        <v>159</v>
      </c>
      <c r="B331" s="24"/>
      <c r="C331" s="24"/>
      <c r="D331" s="24"/>
      <c r="E331" s="24"/>
      <c r="F331" s="24"/>
      <c r="G331" s="24"/>
      <c r="H331" s="25"/>
      <c r="I331" s="25"/>
      <c r="J331" s="25"/>
      <c r="K331" s="25"/>
      <c r="L331" s="25"/>
      <c r="M331" s="25"/>
      <c r="N331" s="25"/>
      <c r="O331" s="25"/>
      <c r="P331" s="25"/>
      <c r="Q331" s="25"/>
    </row>
    <row r="332" customFormat="false" ht="15" hidden="false" customHeight="false" outlineLevel="0" collapsed="false">
      <c r="A332" s="23" t="s">
        <v>159</v>
      </c>
      <c r="B332" s="24"/>
      <c r="C332" s="24"/>
      <c r="D332" s="24"/>
      <c r="E332" s="24"/>
      <c r="F332" s="24"/>
      <c r="G332" s="24"/>
      <c r="H332" s="25"/>
      <c r="I332" s="25"/>
      <c r="J332" s="25"/>
      <c r="K332" s="25"/>
      <c r="L332" s="25"/>
      <c r="M332" s="25"/>
      <c r="N332" s="25"/>
      <c r="O332" s="25"/>
      <c r="P332" s="25"/>
      <c r="Q332" s="25"/>
    </row>
    <row r="333" customFormat="false" ht="15" hidden="false" customHeight="false" outlineLevel="0" collapsed="false">
      <c r="A333" s="23" t="s">
        <v>159</v>
      </c>
      <c r="B333" s="24"/>
      <c r="C333" s="24"/>
      <c r="D333" s="24"/>
      <c r="E333" s="24"/>
      <c r="F333" s="24"/>
      <c r="G333" s="24"/>
      <c r="H333" s="25"/>
      <c r="I333" s="25"/>
      <c r="J333" s="25"/>
      <c r="K333" s="25"/>
      <c r="L333" s="25"/>
      <c r="M333" s="25"/>
      <c r="N333" s="25"/>
      <c r="O333" s="25"/>
      <c r="P333" s="25"/>
      <c r="Q333" s="25"/>
    </row>
    <row r="334" customFormat="false" ht="15" hidden="false" customHeight="false" outlineLevel="0" collapsed="false">
      <c r="A334" s="23" t="s">
        <v>159</v>
      </c>
      <c r="B334" s="24"/>
      <c r="C334" s="24"/>
      <c r="D334" s="24"/>
      <c r="E334" s="24"/>
      <c r="F334" s="24"/>
      <c r="G334" s="24"/>
      <c r="H334" s="25"/>
      <c r="I334" s="25"/>
      <c r="J334" s="25"/>
      <c r="K334" s="25"/>
      <c r="L334" s="25"/>
      <c r="M334" s="25"/>
      <c r="N334" s="25"/>
      <c r="O334" s="25"/>
      <c r="P334" s="25"/>
      <c r="Q334" s="25"/>
    </row>
    <row r="335" customFormat="false" ht="15" hidden="false" customHeight="false" outlineLevel="0" collapsed="false">
      <c r="A335" s="23" t="s">
        <v>159</v>
      </c>
      <c r="B335" s="24"/>
      <c r="C335" s="24"/>
      <c r="D335" s="24"/>
      <c r="E335" s="24"/>
      <c r="F335" s="24"/>
      <c r="G335" s="24"/>
      <c r="H335" s="25"/>
      <c r="I335" s="25"/>
      <c r="J335" s="25"/>
      <c r="K335" s="25"/>
      <c r="L335" s="25"/>
      <c r="M335" s="25"/>
      <c r="N335" s="25"/>
      <c r="O335" s="25"/>
      <c r="P335" s="25"/>
      <c r="Q335" s="25"/>
    </row>
    <row r="336" customFormat="false" ht="15" hidden="false" customHeight="false" outlineLevel="0" collapsed="false">
      <c r="A336" s="23" t="s">
        <v>159</v>
      </c>
      <c r="B336" s="24"/>
      <c r="C336" s="24"/>
      <c r="D336" s="24"/>
      <c r="E336" s="24"/>
      <c r="F336" s="24"/>
      <c r="G336" s="24"/>
      <c r="H336" s="25"/>
      <c r="I336" s="25"/>
      <c r="J336" s="25"/>
      <c r="K336" s="25"/>
      <c r="L336" s="25"/>
      <c r="M336" s="25"/>
      <c r="N336" s="25"/>
      <c r="O336" s="25"/>
      <c r="P336" s="25"/>
      <c r="Q336" s="25"/>
    </row>
    <row r="337" customFormat="false" ht="15" hidden="false" customHeight="false" outlineLevel="0" collapsed="false">
      <c r="A337" s="23" t="s">
        <v>159</v>
      </c>
      <c r="B337" s="24"/>
      <c r="C337" s="24"/>
      <c r="D337" s="24"/>
      <c r="E337" s="24"/>
      <c r="F337" s="24"/>
      <c r="G337" s="24"/>
      <c r="H337" s="25"/>
      <c r="I337" s="25"/>
      <c r="J337" s="25"/>
      <c r="K337" s="25"/>
      <c r="L337" s="25"/>
      <c r="M337" s="25"/>
      <c r="N337" s="25"/>
      <c r="O337" s="25"/>
      <c r="P337" s="25"/>
      <c r="Q337" s="25"/>
    </row>
    <row r="338" customFormat="false" ht="15" hidden="false" customHeight="false" outlineLevel="0" collapsed="false">
      <c r="A338" s="23" t="s">
        <v>159</v>
      </c>
      <c r="B338" s="24"/>
      <c r="C338" s="24"/>
      <c r="D338" s="24"/>
      <c r="E338" s="24"/>
      <c r="F338" s="24"/>
      <c r="G338" s="24"/>
      <c r="H338" s="25"/>
      <c r="I338" s="25"/>
      <c r="J338" s="25"/>
      <c r="K338" s="25"/>
      <c r="L338" s="25"/>
      <c r="M338" s="25"/>
      <c r="N338" s="25"/>
      <c r="O338" s="25"/>
      <c r="P338" s="25"/>
      <c r="Q338" s="25"/>
    </row>
    <row r="339" customFormat="false" ht="15" hidden="false" customHeight="false" outlineLevel="0" collapsed="false">
      <c r="A339" s="23" t="s">
        <v>159</v>
      </c>
      <c r="B339" s="24"/>
      <c r="C339" s="24"/>
      <c r="D339" s="24"/>
      <c r="E339" s="24"/>
      <c r="F339" s="24"/>
      <c r="G339" s="24"/>
      <c r="H339" s="25"/>
      <c r="I339" s="25"/>
      <c r="J339" s="25"/>
      <c r="K339" s="25"/>
      <c r="L339" s="25"/>
      <c r="M339" s="25"/>
      <c r="N339" s="25"/>
      <c r="O339" s="25"/>
      <c r="P339" s="25"/>
      <c r="Q339" s="25"/>
    </row>
    <row r="340" customFormat="false" ht="15" hidden="false" customHeight="false" outlineLevel="0" collapsed="false">
      <c r="A340" s="23" t="s">
        <v>159</v>
      </c>
      <c r="B340" s="24"/>
      <c r="C340" s="24"/>
      <c r="D340" s="24"/>
      <c r="E340" s="24"/>
      <c r="F340" s="24"/>
      <c r="G340" s="24"/>
      <c r="H340" s="25"/>
      <c r="I340" s="25"/>
      <c r="J340" s="25"/>
      <c r="K340" s="25"/>
      <c r="L340" s="25"/>
      <c r="M340" s="25"/>
      <c r="N340" s="25"/>
      <c r="O340" s="25"/>
      <c r="P340" s="25"/>
      <c r="Q340" s="25"/>
    </row>
    <row r="341" customFormat="false" ht="15" hidden="false" customHeight="false" outlineLevel="0" collapsed="false">
      <c r="A341" s="23" t="s">
        <v>159</v>
      </c>
      <c r="B341" s="24"/>
      <c r="C341" s="24"/>
      <c r="D341" s="24"/>
      <c r="E341" s="24"/>
      <c r="F341" s="24"/>
      <c r="G341" s="24"/>
      <c r="H341" s="25"/>
      <c r="I341" s="25"/>
      <c r="J341" s="25"/>
      <c r="K341" s="25"/>
      <c r="L341" s="25"/>
      <c r="M341" s="25"/>
      <c r="N341" s="25"/>
      <c r="O341" s="25"/>
      <c r="P341" s="25"/>
      <c r="Q341" s="25"/>
    </row>
    <row r="342" customFormat="false" ht="15" hidden="false" customHeight="false" outlineLevel="0" collapsed="false">
      <c r="A342" s="23" t="s">
        <v>159</v>
      </c>
      <c r="B342" s="24"/>
      <c r="C342" s="24"/>
      <c r="D342" s="24"/>
      <c r="E342" s="24"/>
      <c r="F342" s="24"/>
      <c r="G342" s="24"/>
      <c r="H342" s="25"/>
      <c r="I342" s="25"/>
      <c r="J342" s="25"/>
      <c r="K342" s="25"/>
      <c r="L342" s="25"/>
      <c r="M342" s="25"/>
      <c r="N342" s="25"/>
      <c r="O342" s="25"/>
      <c r="P342" s="25"/>
      <c r="Q342" s="25"/>
    </row>
    <row r="343" customFormat="false" ht="15" hidden="false" customHeight="false" outlineLevel="0" collapsed="false">
      <c r="A343" s="23" t="s">
        <v>159</v>
      </c>
      <c r="B343" s="24"/>
      <c r="C343" s="24"/>
      <c r="D343" s="24"/>
      <c r="E343" s="24"/>
      <c r="F343" s="24"/>
      <c r="G343" s="24"/>
      <c r="H343" s="25"/>
      <c r="I343" s="25"/>
      <c r="J343" s="25"/>
      <c r="K343" s="25"/>
      <c r="L343" s="25"/>
      <c r="M343" s="25"/>
      <c r="N343" s="25"/>
      <c r="O343" s="25"/>
      <c r="P343" s="25"/>
      <c r="Q343" s="25"/>
    </row>
    <row r="344" customFormat="false" ht="15" hidden="false" customHeight="false" outlineLevel="0" collapsed="false">
      <c r="A344" s="23" t="s">
        <v>159</v>
      </c>
      <c r="B344" s="24"/>
      <c r="C344" s="24"/>
      <c r="D344" s="24"/>
      <c r="E344" s="24"/>
      <c r="F344" s="24"/>
      <c r="G344" s="24"/>
      <c r="H344" s="25"/>
      <c r="I344" s="25"/>
      <c r="J344" s="25"/>
      <c r="K344" s="25"/>
      <c r="L344" s="25"/>
      <c r="M344" s="25"/>
      <c r="N344" s="25"/>
      <c r="O344" s="25"/>
      <c r="P344" s="25"/>
      <c r="Q344" s="25"/>
    </row>
    <row r="345" customFormat="false" ht="15" hidden="false" customHeight="false" outlineLevel="0" collapsed="false">
      <c r="A345" s="23" t="s">
        <v>159</v>
      </c>
      <c r="B345" s="24"/>
      <c r="C345" s="24"/>
      <c r="D345" s="24"/>
      <c r="E345" s="24"/>
      <c r="F345" s="24"/>
      <c r="G345" s="24"/>
      <c r="H345" s="25"/>
      <c r="I345" s="25"/>
      <c r="J345" s="25"/>
      <c r="K345" s="25"/>
      <c r="L345" s="25"/>
      <c r="M345" s="25"/>
      <c r="N345" s="25"/>
      <c r="O345" s="25"/>
      <c r="P345" s="25"/>
      <c r="Q345" s="25"/>
    </row>
    <row r="346" customFormat="false" ht="15" hidden="false" customHeight="false" outlineLevel="0" collapsed="false">
      <c r="A346" s="23" t="s">
        <v>159</v>
      </c>
      <c r="B346" s="24"/>
      <c r="C346" s="24"/>
      <c r="D346" s="24"/>
      <c r="E346" s="24"/>
      <c r="F346" s="24"/>
      <c r="G346" s="24"/>
      <c r="H346" s="25"/>
      <c r="I346" s="25"/>
      <c r="J346" s="25"/>
      <c r="K346" s="25"/>
      <c r="L346" s="25"/>
      <c r="M346" s="25"/>
      <c r="N346" s="25"/>
      <c r="O346" s="25"/>
      <c r="P346" s="25"/>
      <c r="Q346" s="25"/>
    </row>
    <row r="347" customFormat="false" ht="15" hidden="false" customHeight="false" outlineLevel="0" collapsed="false">
      <c r="A347" s="23" t="s">
        <v>159</v>
      </c>
      <c r="B347" s="24"/>
      <c r="C347" s="24"/>
      <c r="D347" s="24"/>
      <c r="E347" s="24"/>
      <c r="F347" s="24"/>
      <c r="G347" s="24"/>
      <c r="H347" s="25"/>
      <c r="I347" s="25"/>
      <c r="J347" s="25"/>
      <c r="K347" s="25"/>
      <c r="L347" s="25"/>
      <c r="M347" s="25"/>
      <c r="N347" s="25"/>
      <c r="O347" s="25"/>
      <c r="P347" s="25"/>
      <c r="Q347" s="25"/>
    </row>
    <row r="348" customFormat="false" ht="15" hidden="false" customHeight="false" outlineLevel="0" collapsed="false">
      <c r="A348" s="23" t="s">
        <v>159</v>
      </c>
      <c r="B348" s="24"/>
      <c r="C348" s="24"/>
      <c r="D348" s="24"/>
      <c r="E348" s="24"/>
      <c r="F348" s="24"/>
      <c r="G348" s="24"/>
      <c r="H348" s="25"/>
      <c r="I348" s="25"/>
      <c r="J348" s="25"/>
      <c r="K348" s="25"/>
      <c r="L348" s="25"/>
      <c r="M348" s="25"/>
      <c r="N348" s="25"/>
      <c r="O348" s="25"/>
      <c r="P348" s="25"/>
      <c r="Q348" s="25"/>
    </row>
    <row r="349" customFormat="false" ht="15" hidden="false" customHeight="false" outlineLevel="0" collapsed="false">
      <c r="A349" s="23" t="s">
        <v>159</v>
      </c>
      <c r="B349" s="24"/>
      <c r="C349" s="24"/>
      <c r="D349" s="24"/>
      <c r="E349" s="24"/>
      <c r="F349" s="24"/>
      <c r="G349" s="24"/>
      <c r="H349" s="25"/>
      <c r="I349" s="25"/>
      <c r="J349" s="25"/>
      <c r="K349" s="25"/>
      <c r="L349" s="25"/>
      <c r="M349" s="25"/>
      <c r="N349" s="25"/>
      <c r="O349" s="25"/>
      <c r="P349" s="25"/>
      <c r="Q349" s="25"/>
    </row>
    <row r="350" customFormat="false" ht="15" hidden="false" customHeight="false" outlineLevel="0" collapsed="false">
      <c r="A350" s="23" t="s">
        <v>159</v>
      </c>
      <c r="B350" s="24"/>
      <c r="C350" s="24"/>
      <c r="D350" s="24"/>
      <c r="E350" s="24"/>
      <c r="F350" s="24"/>
      <c r="G350" s="24"/>
      <c r="H350" s="25"/>
      <c r="I350" s="25"/>
      <c r="J350" s="25"/>
      <c r="K350" s="25"/>
      <c r="L350" s="25"/>
      <c r="M350" s="25"/>
      <c r="N350" s="25"/>
      <c r="O350" s="25"/>
      <c r="P350" s="25"/>
      <c r="Q350" s="25"/>
    </row>
    <row r="351" customFormat="false" ht="15" hidden="false" customHeight="false" outlineLevel="0" collapsed="false">
      <c r="A351" s="23" t="s">
        <v>159</v>
      </c>
      <c r="B351" s="24"/>
      <c r="C351" s="24"/>
      <c r="D351" s="24"/>
      <c r="E351" s="24"/>
      <c r="F351" s="24"/>
      <c r="G351" s="24"/>
      <c r="H351" s="25"/>
      <c r="I351" s="25"/>
      <c r="J351" s="25"/>
      <c r="K351" s="25"/>
      <c r="L351" s="25"/>
      <c r="M351" s="25"/>
      <c r="N351" s="25"/>
      <c r="O351" s="25"/>
      <c r="P351" s="25"/>
      <c r="Q351" s="25"/>
    </row>
    <row r="352" customFormat="false" ht="15" hidden="false" customHeight="false" outlineLevel="0" collapsed="false">
      <c r="A352" s="23" t="s">
        <v>159</v>
      </c>
      <c r="B352" s="24"/>
      <c r="C352" s="24"/>
      <c r="D352" s="24"/>
      <c r="E352" s="24"/>
      <c r="F352" s="24"/>
      <c r="G352" s="24"/>
      <c r="H352" s="25"/>
      <c r="I352" s="25"/>
      <c r="J352" s="25"/>
      <c r="K352" s="25"/>
      <c r="L352" s="25"/>
      <c r="M352" s="25"/>
      <c r="N352" s="25"/>
      <c r="O352" s="25"/>
      <c r="P352" s="25"/>
      <c r="Q352" s="25"/>
    </row>
    <row r="353" customFormat="false" ht="15" hidden="false" customHeight="false" outlineLevel="0" collapsed="false">
      <c r="A353" s="23" t="s">
        <v>159</v>
      </c>
      <c r="B353" s="24"/>
      <c r="C353" s="24"/>
      <c r="D353" s="24"/>
      <c r="E353" s="24"/>
      <c r="F353" s="24"/>
      <c r="G353" s="24"/>
      <c r="H353" s="25"/>
      <c r="I353" s="25"/>
      <c r="J353" s="25"/>
      <c r="K353" s="25"/>
      <c r="L353" s="25"/>
      <c r="M353" s="25"/>
      <c r="N353" s="25"/>
      <c r="O353" s="25"/>
      <c r="P353" s="25"/>
      <c r="Q353" s="25"/>
    </row>
    <row r="354" customFormat="false" ht="15" hidden="false" customHeight="false" outlineLevel="0" collapsed="false">
      <c r="A354" s="23" t="s">
        <v>159</v>
      </c>
      <c r="B354" s="24"/>
      <c r="C354" s="24"/>
      <c r="D354" s="24"/>
      <c r="E354" s="24"/>
      <c r="F354" s="24"/>
      <c r="G354" s="24"/>
      <c r="H354" s="25"/>
      <c r="I354" s="25"/>
      <c r="J354" s="25"/>
      <c r="K354" s="25"/>
      <c r="L354" s="25"/>
      <c r="M354" s="25"/>
      <c r="N354" s="25"/>
      <c r="O354" s="25"/>
      <c r="P354" s="25"/>
      <c r="Q354" s="25"/>
    </row>
    <row r="355" customFormat="false" ht="15" hidden="false" customHeight="false" outlineLevel="0" collapsed="false">
      <c r="A355" s="23" t="s">
        <v>159</v>
      </c>
      <c r="B355" s="24"/>
      <c r="C355" s="24"/>
      <c r="D355" s="24"/>
      <c r="E355" s="24"/>
      <c r="F355" s="24"/>
      <c r="G355" s="24"/>
      <c r="H355" s="25"/>
      <c r="I355" s="25"/>
      <c r="J355" s="25"/>
      <c r="K355" s="25"/>
      <c r="L355" s="25"/>
      <c r="M355" s="25"/>
      <c r="N355" s="25"/>
      <c r="O355" s="25"/>
      <c r="P355" s="25"/>
      <c r="Q355" s="25"/>
    </row>
    <row r="356" customFormat="false" ht="15" hidden="false" customHeight="false" outlineLevel="0" collapsed="false">
      <c r="A356" s="23" t="s">
        <v>159</v>
      </c>
      <c r="B356" s="24"/>
      <c r="C356" s="24"/>
      <c r="D356" s="24"/>
      <c r="E356" s="24"/>
      <c r="F356" s="24"/>
      <c r="G356" s="24"/>
      <c r="H356" s="25"/>
      <c r="I356" s="25"/>
      <c r="J356" s="25"/>
      <c r="K356" s="25"/>
      <c r="L356" s="25"/>
      <c r="M356" s="25"/>
      <c r="N356" s="25"/>
      <c r="O356" s="25"/>
      <c r="P356" s="25"/>
      <c r="Q356" s="25"/>
    </row>
    <row r="357" customFormat="false" ht="15" hidden="false" customHeight="false" outlineLevel="0" collapsed="false">
      <c r="A357" s="23" t="s">
        <v>159</v>
      </c>
      <c r="B357" s="24"/>
      <c r="C357" s="24"/>
      <c r="D357" s="24"/>
      <c r="E357" s="24"/>
      <c r="F357" s="24"/>
      <c r="G357" s="24"/>
      <c r="H357" s="25"/>
      <c r="I357" s="25"/>
      <c r="J357" s="25"/>
      <c r="K357" s="25"/>
      <c r="L357" s="25"/>
      <c r="M357" s="25"/>
      <c r="N357" s="25"/>
      <c r="O357" s="25"/>
      <c r="P357" s="25"/>
      <c r="Q357" s="25"/>
    </row>
    <row r="358" customFormat="false" ht="15" hidden="false" customHeight="false" outlineLevel="0" collapsed="false">
      <c r="A358" s="23" t="s">
        <v>159</v>
      </c>
      <c r="B358" s="24"/>
      <c r="C358" s="24"/>
      <c r="D358" s="24"/>
      <c r="E358" s="24"/>
      <c r="F358" s="24"/>
      <c r="G358" s="24"/>
      <c r="H358" s="25"/>
      <c r="I358" s="25"/>
      <c r="J358" s="25"/>
      <c r="K358" s="25"/>
      <c r="L358" s="25"/>
      <c r="M358" s="25"/>
      <c r="N358" s="25"/>
      <c r="O358" s="25"/>
      <c r="P358" s="25"/>
      <c r="Q358" s="25"/>
    </row>
    <row r="359" customFormat="false" ht="15" hidden="false" customHeight="false" outlineLevel="0" collapsed="false">
      <c r="A359" s="23" t="s">
        <v>159</v>
      </c>
      <c r="B359" s="24"/>
      <c r="C359" s="24"/>
      <c r="D359" s="24"/>
      <c r="E359" s="24"/>
      <c r="F359" s="24"/>
      <c r="G359" s="24"/>
      <c r="H359" s="25"/>
      <c r="I359" s="25"/>
      <c r="J359" s="25"/>
      <c r="K359" s="25"/>
      <c r="L359" s="25"/>
      <c r="M359" s="25"/>
      <c r="N359" s="25"/>
      <c r="O359" s="25"/>
      <c r="P359" s="25"/>
      <c r="Q359" s="25"/>
    </row>
    <row r="360" customFormat="false" ht="15" hidden="false" customHeight="false" outlineLevel="0" collapsed="false">
      <c r="A360" s="23" t="s">
        <v>159</v>
      </c>
      <c r="B360" s="24"/>
      <c r="C360" s="24"/>
      <c r="D360" s="24"/>
      <c r="E360" s="24"/>
      <c r="F360" s="24"/>
      <c r="G360" s="24"/>
      <c r="H360" s="25"/>
      <c r="I360" s="25"/>
      <c r="J360" s="25"/>
      <c r="K360" s="25"/>
      <c r="L360" s="25"/>
      <c r="M360" s="25"/>
      <c r="N360" s="25"/>
      <c r="O360" s="25"/>
      <c r="P360" s="25"/>
      <c r="Q360" s="25"/>
    </row>
    <row r="361" customFormat="false" ht="15" hidden="false" customHeight="false" outlineLevel="0" collapsed="false">
      <c r="A361" s="23" t="s">
        <v>159</v>
      </c>
      <c r="B361" s="24"/>
      <c r="C361" s="24"/>
      <c r="D361" s="24"/>
      <c r="E361" s="24"/>
      <c r="F361" s="24"/>
      <c r="G361" s="24"/>
      <c r="H361" s="25"/>
      <c r="I361" s="25"/>
      <c r="J361" s="25"/>
      <c r="K361" s="25"/>
      <c r="L361" s="25"/>
      <c r="M361" s="25"/>
      <c r="N361" s="25"/>
      <c r="O361" s="25"/>
      <c r="P361" s="25"/>
      <c r="Q361" s="25"/>
    </row>
    <row r="362" customFormat="false" ht="15" hidden="false" customHeight="false" outlineLevel="0" collapsed="false">
      <c r="A362" s="23" t="s">
        <v>159</v>
      </c>
      <c r="B362" s="24"/>
      <c r="C362" s="24"/>
      <c r="D362" s="24"/>
      <c r="E362" s="24"/>
      <c r="F362" s="24"/>
      <c r="G362" s="24"/>
      <c r="H362" s="25"/>
      <c r="I362" s="25"/>
      <c r="J362" s="25"/>
      <c r="K362" s="25"/>
      <c r="L362" s="25"/>
      <c r="M362" s="25"/>
      <c r="N362" s="25"/>
      <c r="O362" s="25"/>
      <c r="P362" s="25"/>
      <c r="Q362" s="25"/>
    </row>
    <row r="363" customFormat="false" ht="15" hidden="false" customHeight="false" outlineLevel="0" collapsed="false">
      <c r="A363" s="23" t="s">
        <v>159</v>
      </c>
      <c r="B363" s="24"/>
      <c r="C363" s="24"/>
      <c r="D363" s="24"/>
      <c r="E363" s="24"/>
      <c r="F363" s="24"/>
      <c r="G363" s="24"/>
      <c r="H363" s="25"/>
      <c r="I363" s="25"/>
      <c r="J363" s="25"/>
      <c r="K363" s="25"/>
      <c r="L363" s="25"/>
      <c r="M363" s="25"/>
      <c r="N363" s="25"/>
      <c r="O363" s="25"/>
      <c r="P363" s="25"/>
      <c r="Q363" s="25"/>
    </row>
    <row r="364" customFormat="false" ht="15" hidden="false" customHeight="false" outlineLevel="0" collapsed="false">
      <c r="A364" s="23" t="s">
        <v>159</v>
      </c>
      <c r="B364" s="24"/>
      <c r="C364" s="24"/>
      <c r="D364" s="24"/>
      <c r="E364" s="24"/>
      <c r="F364" s="24"/>
      <c r="G364" s="24"/>
      <c r="H364" s="25"/>
      <c r="I364" s="25"/>
      <c r="J364" s="25"/>
      <c r="K364" s="25"/>
      <c r="L364" s="25"/>
      <c r="M364" s="25"/>
      <c r="N364" s="25"/>
      <c r="O364" s="25"/>
      <c r="P364" s="25"/>
      <c r="Q364" s="25"/>
    </row>
    <row r="365" customFormat="false" ht="15" hidden="false" customHeight="false" outlineLevel="0" collapsed="false">
      <c r="A365" s="23" t="s">
        <v>159</v>
      </c>
      <c r="B365" s="24"/>
      <c r="C365" s="24"/>
      <c r="D365" s="24"/>
      <c r="E365" s="24"/>
      <c r="F365" s="24"/>
      <c r="G365" s="24"/>
      <c r="H365" s="25"/>
      <c r="I365" s="25"/>
      <c r="J365" s="25"/>
      <c r="K365" s="25"/>
      <c r="L365" s="25"/>
      <c r="M365" s="25"/>
      <c r="N365" s="25"/>
      <c r="O365" s="25"/>
      <c r="P365" s="25"/>
      <c r="Q365" s="25"/>
    </row>
    <row r="366" customFormat="false" ht="15" hidden="false" customHeight="false" outlineLevel="0" collapsed="false">
      <c r="A366" s="23" t="s">
        <v>159</v>
      </c>
      <c r="B366" s="24"/>
      <c r="C366" s="24"/>
      <c r="D366" s="24"/>
      <c r="E366" s="24"/>
      <c r="F366" s="24"/>
      <c r="G366" s="24"/>
      <c r="H366" s="25"/>
      <c r="I366" s="25"/>
      <c r="J366" s="25"/>
      <c r="K366" s="25"/>
      <c r="L366" s="25"/>
      <c r="M366" s="25"/>
      <c r="N366" s="25"/>
      <c r="O366" s="25"/>
      <c r="P366" s="25"/>
      <c r="Q366" s="25"/>
    </row>
    <row r="367" customFormat="false" ht="15" hidden="false" customHeight="false" outlineLevel="0" collapsed="false">
      <c r="A367" s="23" t="s">
        <v>159</v>
      </c>
      <c r="B367" s="24"/>
      <c r="C367" s="24"/>
      <c r="D367" s="24"/>
      <c r="E367" s="24"/>
      <c r="F367" s="24"/>
      <c r="G367" s="24"/>
      <c r="H367" s="25"/>
      <c r="I367" s="25"/>
      <c r="J367" s="25"/>
      <c r="K367" s="25"/>
      <c r="L367" s="25"/>
      <c r="M367" s="25"/>
      <c r="N367" s="25"/>
      <c r="O367" s="25"/>
      <c r="P367" s="25"/>
      <c r="Q367" s="25"/>
    </row>
    <row r="368" customFormat="false" ht="15" hidden="false" customHeight="false" outlineLevel="0" collapsed="false">
      <c r="A368" s="23" t="s">
        <v>159</v>
      </c>
      <c r="B368" s="24"/>
      <c r="C368" s="24"/>
      <c r="D368" s="24"/>
      <c r="E368" s="24"/>
      <c r="F368" s="24"/>
      <c r="G368" s="24"/>
      <c r="H368" s="25"/>
      <c r="I368" s="25"/>
      <c r="J368" s="25"/>
      <c r="K368" s="25"/>
      <c r="L368" s="25"/>
      <c r="M368" s="25"/>
      <c r="N368" s="25"/>
      <c r="O368" s="25"/>
      <c r="P368" s="25"/>
      <c r="Q368" s="25"/>
    </row>
    <row r="369" customFormat="false" ht="15" hidden="false" customHeight="false" outlineLevel="0" collapsed="false">
      <c r="A369" s="23" t="s">
        <v>159</v>
      </c>
      <c r="B369" s="24"/>
      <c r="C369" s="24"/>
      <c r="D369" s="24"/>
      <c r="E369" s="24"/>
      <c r="F369" s="24"/>
      <c r="G369" s="24"/>
      <c r="H369" s="25"/>
      <c r="I369" s="25"/>
      <c r="J369" s="25"/>
      <c r="K369" s="25"/>
      <c r="L369" s="25"/>
      <c r="M369" s="25"/>
      <c r="N369" s="25"/>
      <c r="O369" s="25"/>
      <c r="P369" s="25"/>
      <c r="Q369" s="25"/>
    </row>
    <row r="370" customFormat="false" ht="15" hidden="false" customHeight="false" outlineLevel="0" collapsed="false">
      <c r="A370" s="23" t="s">
        <v>159</v>
      </c>
      <c r="B370" s="24"/>
      <c r="C370" s="24"/>
      <c r="D370" s="24"/>
      <c r="E370" s="24"/>
      <c r="F370" s="24"/>
      <c r="G370" s="24"/>
      <c r="H370" s="25"/>
      <c r="I370" s="25"/>
      <c r="J370" s="25"/>
      <c r="K370" s="25"/>
      <c r="L370" s="25"/>
      <c r="M370" s="25"/>
      <c r="N370" s="25"/>
      <c r="O370" s="25"/>
      <c r="P370" s="25"/>
      <c r="Q370" s="25"/>
    </row>
    <row r="371" customFormat="false" ht="15" hidden="false" customHeight="false" outlineLevel="0" collapsed="false">
      <c r="A371" s="23" t="s">
        <v>159</v>
      </c>
      <c r="B371" s="24"/>
      <c r="C371" s="24"/>
      <c r="D371" s="24"/>
      <c r="E371" s="24"/>
      <c r="F371" s="24"/>
      <c r="G371" s="24"/>
      <c r="H371" s="25"/>
      <c r="I371" s="25"/>
      <c r="J371" s="25"/>
      <c r="K371" s="25"/>
      <c r="L371" s="25"/>
      <c r="M371" s="25"/>
      <c r="N371" s="25"/>
      <c r="O371" s="25"/>
      <c r="P371" s="25"/>
      <c r="Q371" s="25"/>
    </row>
    <row r="372" customFormat="false" ht="15" hidden="false" customHeight="false" outlineLevel="0" collapsed="false">
      <c r="A372" s="23" t="s">
        <v>159</v>
      </c>
      <c r="B372" s="24"/>
      <c r="C372" s="24"/>
      <c r="D372" s="24"/>
      <c r="E372" s="24"/>
      <c r="F372" s="24"/>
      <c r="G372" s="24"/>
      <c r="H372" s="25"/>
      <c r="I372" s="25"/>
      <c r="J372" s="25"/>
      <c r="K372" s="25"/>
      <c r="L372" s="25"/>
      <c r="M372" s="25"/>
      <c r="N372" s="25"/>
      <c r="O372" s="25"/>
      <c r="P372" s="25"/>
      <c r="Q372" s="25"/>
    </row>
    <row r="373" customFormat="false" ht="15" hidden="false" customHeight="false" outlineLevel="0" collapsed="false">
      <c r="A373" s="23" t="s">
        <v>159</v>
      </c>
      <c r="B373" s="24"/>
      <c r="C373" s="24"/>
      <c r="D373" s="24"/>
      <c r="E373" s="24"/>
      <c r="F373" s="24"/>
      <c r="G373" s="24"/>
      <c r="H373" s="25"/>
      <c r="I373" s="25"/>
      <c r="J373" s="25"/>
      <c r="K373" s="25"/>
      <c r="L373" s="25"/>
      <c r="M373" s="25"/>
      <c r="N373" s="25"/>
      <c r="O373" s="25"/>
      <c r="P373" s="25"/>
      <c r="Q373" s="25"/>
    </row>
    <row r="374" customFormat="false" ht="15" hidden="false" customHeight="false" outlineLevel="0" collapsed="false">
      <c r="A374" s="23" t="s">
        <v>159</v>
      </c>
      <c r="B374" s="24"/>
      <c r="C374" s="24"/>
      <c r="D374" s="24"/>
      <c r="E374" s="24"/>
      <c r="F374" s="24"/>
      <c r="G374" s="24"/>
      <c r="H374" s="25"/>
      <c r="I374" s="25"/>
      <c r="J374" s="25"/>
      <c r="K374" s="25"/>
      <c r="L374" s="25"/>
      <c r="M374" s="25"/>
      <c r="N374" s="25"/>
      <c r="O374" s="25"/>
      <c r="P374" s="25"/>
      <c r="Q374" s="25"/>
    </row>
    <row r="375" customFormat="false" ht="15" hidden="false" customHeight="false" outlineLevel="0" collapsed="false">
      <c r="A375" s="23" t="s">
        <v>159</v>
      </c>
      <c r="B375" s="24"/>
      <c r="C375" s="24"/>
      <c r="D375" s="24"/>
      <c r="E375" s="24"/>
      <c r="F375" s="24"/>
      <c r="G375" s="24"/>
      <c r="H375" s="25"/>
      <c r="I375" s="25"/>
      <c r="J375" s="25"/>
      <c r="K375" s="25"/>
      <c r="L375" s="25"/>
      <c r="M375" s="25"/>
      <c r="N375" s="25"/>
      <c r="O375" s="25"/>
      <c r="P375" s="25"/>
      <c r="Q375" s="25"/>
    </row>
    <row r="376" customFormat="false" ht="15" hidden="false" customHeight="false" outlineLevel="0" collapsed="false">
      <c r="A376" s="23" t="s">
        <v>159</v>
      </c>
      <c r="B376" s="24"/>
      <c r="C376" s="24"/>
      <c r="D376" s="24"/>
      <c r="E376" s="24"/>
      <c r="F376" s="24"/>
      <c r="G376" s="24"/>
      <c r="H376" s="25"/>
      <c r="I376" s="25"/>
      <c r="J376" s="25"/>
      <c r="K376" s="25"/>
      <c r="L376" s="25"/>
      <c r="M376" s="25"/>
      <c r="N376" s="25"/>
      <c r="O376" s="25"/>
      <c r="P376" s="25"/>
      <c r="Q376" s="25"/>
    </row>
    <row r="377" customFormat="false" ht="15" hidden="false" customHeight="false" outlineLevel="0" collapsed="false">
      <c r="A377" s="23" t="s">
        <v>159</v>
      </c>
      <c r="B377" s="24"/>
      <c r="C377" s="24"/>
      <c r="D377" s="24"/>
      <c r="E377" s="24"/>
      <c r="F377" s="24"/>
      <c r="G377" s="24"/>
      <c r="H377" s="25"/>
      <c r="I377" s="25"/>
      <c r="J377" s="25"/>
      <c r="K377" s="25"/>
      <c r="L377" s="25"/>
      <c r="M377" s="25"/>
      <c r="N377" s="25"/>
      <c r="O377" s="25"/>
      <c r="P377" s="25"/>
      <c r="Q377" s="25"/>
    </row>
    <row r="378" customFormat="false" ht="15" hidden="false" customHeight="false" outlineLevel="0" collapsed="false">
      <c r="A378" s="23" t="s">
        <v>159</v>
      </c>
      <c r="B378" s="24"/>
      <c r="C378" s="24"/>
      <c r="D378" s="24"/>
      <c r="E378" s="24"/>
      <c r="F378" s="24"/>
      <c r="G378" s="24"/>
      <c r="H378" s="25"/>
      <c r="I378" s="25"/>
      <c r="J378" s="25"/>
      <c r="K378" s="25"/>
      <c r="L378" s="25"/>
      <c r="M378" s="25"/>
      <c r="N378" s="25"/>
      <c r="O378" s="25"/>
      <c r="P378" s="25"/>
      <c r="Q378" s="25"/>
    </row>
    <row r="379" customFormat="false" ht="15" hidden="false" customHeight="false" outlineLevel="0" collapsed="false">
      <c r="A379" s="23" t="s">
        <v>159</v>
      </c>
      <c r="B379" s="24"/>
      <c r="C379" s="24"/>
      <c r="D379" s="24"/>
      <c r="E379" s="24"/>
      <c r="F379" s="24"/>
      <c r="G379" s="24"/>
      <c r="H379" s="25"/>
      <c r="I379" s="25"/>
      <c r="J379" s="25"/>
      <c r="K379" s="25"/>
      <c r="L379" s="25"/>
      <c r="M379" s="25"/>
      <c r="N379" s="25"/>
      <c r="O379" s="25"/>
      <c r="P379" s="25"/>
      <c r="Q379" s="25"/>
    </row>
    <row r="380" customFormat="false" ht="15" hidden="false" customHeight="false" outlineLevel="0" collapsed="false">
      <c r="A380" s="23" t="s">
        <v>159</v>
      </c>
      <c r="B380" s="24"/>
      <c r="C380" s="24"/>
      <c r="D380" s="24"/>
      <c r="E380" s="24"/>
      <c r="F380" s="24"/>
      <c r="G380" s="24"/>
      <c r="H380" s="25"/>
      <c r="I380" s="25"/>
      <c r="J380" s="25"/>
      <c r="K380" s="25"/>
      <c r="L380" s="25"/>
      <c r="M380" s="25"/>
      <c r="N380" s="25"/>
      <c r="O380" s="25"/>
      <c r="P380" s="25"/>
      <c r="Q380" s="25"/>
    </row>
    <row r="381" customFormat="false" ht="15" hidden="false" customHeight="false" outlineLevel="0" collapsed="false">
      <c r="A381" s="23" t="s">
        <v>159</v>
      </c>
      <c r="B381" s="24"/>
      <c r="C381" s="24"/>
      <c r="D381" s="24"/>
      <c r="E381" s="24"/>
      <c r="F381" s="24"/>
      <c r="G381" s="24"/>
      <c r="H381" s="25"/>
      <c r="I381" s="25"/>
      <c r="J381" s="25"/>
      <c r="K381" s="25"/>
      <c r="L381" s="25"/>
      <c r="M381" s="25"/>
      <c r="N381" s="25"/>
      <c r="O381" s="25"/>
      <c r="P381" s="25"/>
      <c r="Q381" s="25"/>
    </row>
    <row r="382" customFormat="false" ht="15" hidden="false" customHeight="false" outlineLevel="0" collapsed="false">
      <c r="A382" s="23" t="s">
        <v>159</v>
      </c>
      <c r="B382" s="24"/>
      <c r="C382" s="24"/>
      <c r="D382" s="24"/>
      <c r="E382" s="24"/>
      <c r="F382" s="24"/>
      <c r="G382" s="24"/>
      <c r="H382" s="25"/>
      <c r="I382" s="25"/>
      <c r="J382" s="25"/>
      <c r="K382" s="25"/>
      <c r="L382" s="25"/>
      <c r="M382" s="25"/>
      <c r="N382" s="25"/>
      <c r="O382" s="25"/>
      <c r="P382" s="25"/>
      <c r="Q382" s="25"/>
    </row>
    <row r="383" customFormat="false" ht="15" hidden="false" customHeight="false" outlineLevel="0" collapsed="false">
      <c r="A383" s="23" t="s">
        <v>159</v>
      </c>
      <c r="B383" s="24"/>
      <c r="C383" s="24"/>
      <c r="D383" s="24"/>
      <c r="E383" s="24"/>
      <c r="F383" s="24"/>
      <c r="G383" s="24"/>
      <c r="H383" s="25"/>
      <c r="I383" s="25"/>
      <c r="J383" s="25"/>
      <c r="K383" s="25"/>
      <c r="L383" s="25"/>
      <c r="M383" s="25"/>
      <c r="N383" s="25"/>
      <c r="O383" s="25"/>
      <c r="P383" s="25"/>
      <c r="Q383" s="25"/>
    </row>
    <row r="384" customFormat="false" ht="15" hidden="false" customHeight="false" outlineLevel="0" collapsed="false">
      <c r="A384" s="23" t="s">
        <v>159</v>
      </c>
      <c r="B384" s="24"/>
      <c r="C384" s="24"/>
      <c r="D384" s="24"/>
      <c r="E384" s="24"/>
      <c r="F384" s="24"/>
      <c r="G384" s="24"/>
      <c r="H384" s="25"/>
      <c r="I384" s="25"/>
      <c r="J384" s="25"/>
      <c r="K384" s="25"/>
      <c r="L384" s="25"/>
      <c r="M384" s="25"/>
      <c r="N384" s="25"/>
      <c r="O384" s="25"/>
      <c r="P384" s="25"/>
      <c r="Q384" s="25"/>
    </row>
    <row r="385" customFormat="false" ht="15" hidden="false" customHeight="false" outlineLevel="0" collapsed="false">
      <c r="A385" s="23" t="s">
        <v>159</v>
      </c>
      <c r="B385" s="24"/>
      <c r="C385" s="24"/>
      <c r="D385" s="24"/>
      <c r="E385" s="24"/>
      <c r="F385" s="24"/>
      <c r="G385" s="24"/>
      <c r="H385" s="25"/>
      <c r="I385" s="25"/>
      <c r="J385" s="25"/>
      <c r="K385" s="25"/>
      <c r="L385" s="25"/>
      <c r="M385" s="25"/>
      <c r="N385" s="25"/>
      <c r="O385" s="25"/>
      <c r="P385" s="25"/>
      <c r="Q385" s="25"/>
    </row>
    <row r="386" customFormat="false" ht="15" hidden="false" customHeight="false" outlineLevel="0" collapsed="false">
      <c r="A386" s="23" t="s">
        <v>159</v>
      </c>
      <c r="B386" s="24"/>
      <c r="C386" s="24"/>
      <c r="D386" s="24"/>
      <c r="E386" s="24"/>
      <c r="F386" s="24"/>
      <c r="G386" s="24"/>
      <c r="H386" s="25"/>
      <c r="I386" s="25"/>
      <c r="J386" s="25"/>
      <c r="K386" s="25"/>
      <c r="L386" s="25"/>
      <c r="M386" s="25"/>
      <c r="N386" s="25"/>
      <c r="O386" s="25"/>
      <c r="P386" s="25"/>
      <c r="Q386" s="25"/>
    </row>
    <row r="387" customFormat="false" ht="15" hidden="false" customHeight="false" outlineLevel="0" collapsed="false">
      <c r="A387" s="23" t="s">
        <v>159</v>
      </c>
      <c r="B387" s="24"/>
      <c r="C387" s="24"/>
      <c r="D387" s="24"/>
      <c r="E387" s="24"/>
      <c r="F387" s="24"/>
      <c r="G387" s="24"/>
      <c r="H387" s="25"/>
      <c r="I387" s="25"/>
      <c r="J387" s="25"/>
      <c r="K387" s="25"/>
      <c r="L387" s="25"/>
      <c r="M387" s="25"/>
      <c r="N387" s="25"/>
      <c r="O387" s="25"/>
      <c r="P387" s="25"/>
      <c r="Q387" s="25"/>
    </row>
    <row r="388" customFormat="false" ht="15" hidden="false" customHeight="false" outlineLevel="0" collapsed="false">
      <c r="A388" s="23" t="s">
        <v>159</v>
      </c>
      <c r="B388" s="24"/>
      <c r="C388" s="24"/>
      <c r="D388" s="24"/>
      <c r="E388" s="24"/>
      <c r="F388" s="24"/>
      <c r="G388" s="24"/>
      <c r="H388" s="25"/>
      <c r="I388" s="25"/>
      <c r="J388" s="25"/>
      <c r="K388" s="25"/>
      <c r="L388" s="25"/>
      <c r="M388" s="25"/>
      <c r="N388" s="25"/>
      <c r="O388" s="25"/>
      <c r="P388" s="25"/>
      <c r="Q388" s="25"/>
    </row>
    <row r="389" customFormat="false" ht="15" hidden="false" customHeight="false" outlineLevel="0" collapsed="false">
      <c r="A389" s="23" t="s">
        <v>159</v>
      </c>
      <c r="B389" s="24"/>
      <c r="C389" s="24"/>
      <c r="D389" s="24"/>
      <c r="E389" s="24"/>
      <c r="F389" s="24"/>
      <c r="G389" s="24"/>
      <c r="H389" s="25"/>
      <c r="I389" s="25"/>
      <c r="J389" s="25"/>
      <c r="K389" s="25"/>
      <c r="L389" s="25"/>
      <c r="M389" s="25"/>
      <c r="N389" s="25"/>
      <c r="O389" s="25"/>
      <c r="P389" s="25"/>
      <c r="Q389" s="25"/>
    </row>
    <row r="390" customFormat="false" ht="15" hidden="false" customHeight="false" outlineLevel="0" collapsed="false">
      <c r="A390" s="23" t="s">
        <v>159</v>
      </c>
      <c r="B390" s="24"/>
      <c r="C390" s="24"/>
      <c r="D390" s="24"/>
      <c r="E390" s="24"/>
      <c r="F390" s="24"/>
      <c r="G390" s="24"/>
      <c r="H390" s="25"/>
      <c r="I390" s="25"/>
      <c r="J390" s="25"/>
      <c r="K390" s="25"/>
      <c r="L390" s="25"/>
      <c r="M390" s="25"/>
      <c r="N390" s="25"/>
      <c r="O390" s="25"/>
      <c r="P390" s="25"/>
      <c r="Q390" s="25"/>
    </row>
    <row r="391" customFormat="false" ht="15" hidden="false" customHeight="false" outlineLevel="0" collapsed="false">
      <c r="A391" s="23" t="s">
        <v>159</v>
      </c>
      <c r="B391" s="24"/>
      <c r="C391" s="24"/>
      <c r="D391" s="24"/>
      <c r="E391" s="24"/>
      <c r="F391" s="24"/>
      <c r="G391" s="24"/>
      <c r="H391" s="25"/>
      <c r="I391" s="25"/>
      <c r="J391" s="25"/>
      <c r="K391" s="25"/>
      <c r="L391" s="25"/>
      <c r="M391" s="25"/>
      <c r="N391" s="25"/>
      <c r="O391" s="25"/>
      <c r="P391" s="25"/>
      <c r="Q391" s="25"/>
    </row>
    <row r="392" customFormat="false" ht="15" hidden="false" customHeight="false" outlineLevel="0" collapsed="false">
      <c r="A392" s="23" t="s">
        <v>159</v>
      </c>
      <c r="B392" s="24"/>
      <c r="C392" s="24"/>
      <c r="D392" s="24"/>
      <c r="E392" s="24"/>
      <c r="F392" s="24"/>
      <c r="G392" s="24"/>
      <c r="H392" s="25"/>
      <c r="I392" s="25"/>
      <c r="J392" s="25"/>
      <c r="K392" s="25"/>
      <c r="L392" s="25"/>
      <c r="M392" s="25"/>
      <c r="N392" s="25"/>
      <c r="O392" s="25"/>
      <c r="P392" s="25"/>
      <c r="Q392" s="25"/>
    </row>
    <row r="393" customFormat="false" ht="15" hidden="false" customHeight="false" outlineLevel="0" collapsed="false">
      <c r="A393" s="23" t="s">
        <v>159</v>
      </c>
      <c r="B393" s="24"/>
      <c r="C393" s="24"/>
      <c r="D393" s="24"/>
      <c r="E393" s="24"/>
      <c r="F393" s="24"/>
      <c r="G393" s="24"/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 customFormat="false" ht="15" hidden="false" customHeight="false" outlineLevel="0" collapsed="false">
      <c r="A394" s="23" t="s">
        <v>159</v>
      </c>
      <c r="B394" s="24"/>
      <c r="C394" s="24"/>
      <c r="D394" s="24"/>
      <c r="E394" s="24"/>
      <c r="F394" s="24"/>
      <c r="G394" s="24"/>
      <c r="H394" s="25"/>
      <c r="I394" s="25"/>
      <c r="J394" s="25"/>
      <c r="K394" s="25"/>
      <c r="L394" s="25"/>
      <c r="M394" s="25"/>
      <c r="N394" s="25"/>
      <c r="O394" s="25"/>
      <c r="P394" s="25"/>
      <c r="Q394" s="25"/>
    </row>
    <row r="395" customFormat="false" ht="15" hidden="false" customHeight="false" outlineLevel="0" collapsed="false">
      <c r="A395" s="23" t="s">
        <v>159</v>
      </c>
      <c r="B395" s="24"/>
      <c r="C395" s="24"/>
      <c r="D395" s="24"/>
      <c r="E395" s="24"/>
      <c r="F395" s="24"/>
      <c r="G395" s="24"/>
      <c r="H395" s="25"/>
      <c r="I395" s="25"/>
      <c r="J395" s="25"/>
      <c r="K395" s="25"/>
      <c r="L395" s="25"/>
      <c r="M395" s="25"/>
      <c r="N395" s="25"/>
      <c r="O395" s="25"/>
      <c r="P395" s="25"/>
      <c r="Q395" s="25"/>
    </row>
    <row r="396" customFormat="false" ht="15" hidden="false" customHeight="false" outlineLevel="0" collapsed="false">
      <c r="A396" s="23" t="s">
        <v>159</v>
      </c>
      <c r="B396" s="24"/>
      <c r="C396" s="24"/>
      <c r="D396" s="24"/>
      <c r="E396" s="24"/>
      <c r="F396" s="24"/>
      <c r="G396" s="24"/>
      <c r="H396" s="25"/>
      <c r="I396" s="25"/>
      <c r="J396" s="25"/>
      <c r="K396" s="25"/>
      <c r="L396" s="25"/>
      <c r="M396" s="25"/>
      <c r="N396" s="25"/>
      <c r="O396" s="25"/>
      <c r="P396" s="25"/>
      <c r="Q396" s="25"/>
    </row>
    <row r="397" customFormat="false" ht="15" hidden="false" customHeight="false" outlineLevel="0" collapsed="false">
      <c r="A397" s="23" t="s">
        <v>159</v>
      </c>
      <c r="B397" s="24"/>
      <c r="C397" s="24"/>
      <c r="D397" s="24"/>
      <c r="E397" s="24"/>
      <c r="F397" s="24"/>
      <c r="G397" s="24"/>
      <c r="H397" s="25"/>
      <c r="I397" s="25"/>
      <c r="J397" s="25"/>
      <c r="K397" s="25"/>
      <c r="L397" s="25"/>
      <c r="M397" s="25"/>
      <c r="N397" s="25"/>
      <c r="O397" s="25"/>
      <c r="P397" s="25"/>
      <c r="Q397" s="25"/>
    </row>
    <row r="398" customFormat="false" ht="15" hidden="false" customHeight="false" outlineLevel="0" collapsed="false">
      <c r="A398" s="23" t="s">
        <v>159</v>
      </c>
      <c r="B398" s="24"/>
      <c r="C398" s="24"/>
      <c r="D398" s="24"/>
      <c r="E398" s="24"/>
      <c r="F398" s="24"/>
      <c r="G398" s="24"/>
      <c r="H398" s="25"/>
      <c r="I398" s="25"/>
      <c r="J398" s="25"/>
      <c r="K398" s="25"/>
      <c r="L398" s="25"/>
      <c r="M398" s="25"/>
      <c r="N398" s="25"/>
      <c r="O398" s="25"/>
      <c r="P398" s="25"/>
      <c r="Q398" s="25"/>
    </row>
    <row r="399" customFormat="false" ht="15" hidden="false" customHeight="false" outlineLevel="0" collapsed="false">
      <c r="A399" s="23" t="s">
        <v>159</v>
      </c>
      <c r="B399" s="24"/>
      <c r="C399" s="24"/>
      <c r="D399" s="24"/>
      <c r="E399" s="24"/>
      <c r="F399" s="24"/>
      <c r="G399" s="24"/>
      <c r="H399" s="25"/>
      <c r="I399" s="25"/>
      <c r="J399" s="25"/>
      <c r="K399" s="25"/>
      <c r="L399" s="25"/>
      <c r="M399" s="25"/>
      <c r="N399" s="25"/>
      <c r="O399" s="25"/>
      <c r="P399" s="25"/>
      <c r="Q399" s="25"/>
    </row>
    <row r="400" customFormat="false" ht="15" hidden="false" customHeight="false" outlineLevel="0" collapsed="false">
      <c r="A400" s="23" t="s">
        <v>159</v>
      </c>
      <c r="B400" s="24"/>
      <c r="C400" s="24"/>
      <c r="D400" s="24"/>
      <c r="E400" s="24"/>
      <c r="F400" s="24"/>
      <c r="G400" s="24"/>
      <c r="H400" s="25"/>
      <c r="I400" s="25"/>
      <c r="J400" s="25"/>
      <c r="K400" s="25"/>
      <c r="L400" s="25"/>
      <c r="M400" s="25"/>
      <c r="N400" s="25"/>
      <c r="O400" s="25"/>
      <c r="P400" s="25"/>
      <c r="Q400" s="25"/>
    </row>
  </sheetData>
  <autoFilter ref="A3:Q400"/>
  <dataValidations count="5">
    <dataValidation allowBlank="true" error="목록에서 고르세요." errorStyle="stop" errorTitle="값 확인" operator="between" showDropDown="false" showErrorMessage="false" showInputMessage="false" sqref="J4:J400" type="list">
      <formula1>"주절,연결절,보고절,내용절,명사성 틀,-"</formula1>
      <formula2>0</formula2>
    </dataValidation>
    <dataValidation allowBlank="true" error="목록에서 고르세요." errorStyle="stop" errorTitle="값 확인" operator="between" showDropDown="false" showErrorMessage="false" showInputMessage="false" sqref="L4:L400" type="list">
      <formula1>"T1,T2,T3,T4,T5,유보,C5"</formula1>
      <formula2>0</formula2>
    </dataValidation>
    <dataValidation allowBlank="true" error="목록에서 고르세요." errorStyle="stop" errorTitle="값 확인" operator="between" showDropDown="false" showErrorMessage="false" showInputMessage="false" sqref="M4:M400" type="list">
      <formula1>"범위,연결·논평만,명시 없음,유보,절 아님"</formula1>
      <formula2>0</formula2>
    </dataValidation>
    <dataValidation allowBlank="true" error="목록에서 고르세요." errorStyle="stop" errorTitle="값 확인" operator="between" showDropDown="false" showErrorMessage="false" showInputMessage="false" sqref="P4:P400" type="list">
      <formula1>"상,중,하"</formula1>
      <formula2>0</formula2>
    </dataValidation>
    <dataValidation allowBlank="true" error="목록에서 고르세요." errorStyle="stop" errorTitle="값 확인" operator="between" showDropDown="false" showErrorMessage="false" showInputMessage="false" sqref="A4:A400" type="list">
      <formula1>"독립 판정,AI 초안 검토,연습"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6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28"/>
    <col collapsed="false" customWidth="true" hidden="false" outlineLevel="0" max="15" min="14" style="0" width="8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28"/>
    <col collapsed="false" customWidth="true" hidden="false" outlineLevel="0" max="20" min="20" style="0" width="8"/>
    <col collapsed="false" customWidth="true" hidden="false" outlineLevel="0" max="21" min="21" style="0" width="11"/>
    <col collapsed="false" customWidth="true" hidden="false" outlineLevel="0" max="22" min="22" style="0" width="22"/>
  </cols>
  <sheetData>
    <row r="1" customFormat="false" ht="17.15" hidden="false" customHeight="false" outlineLevel="0" collapsed="false">
      <c r="A1" s="26" t="s">
        <v>178</v>
      </c>
    </row>
    <row r="2" customFormat="false" ht="15" hidden="false" customHeight="false" outlineLevel="0" collapsed="false">
      <c r="A2" s="14" t="s">
        <v>179</v>
      </c>
    </row>
    <row r="3" customFormat="false" ht="30" hidden="false" customHeight="true" outlineLevel="0" collapsed="false">
      <c r="A3" s="16" t="s">
        <v>146</v>
      </c>
      <c r="B3" s="16" t="s">
        <v>147</v>
      </c>
      <c r="C3" s="16" t="s">
        <v>148</v>
      </c>
      <c r="D3" s="16" t="s">
        <v>149</v>
      </c>
      <c r="E3" s="16" t="s">
        <v>150</v>
      </c>
      <c r="F3" s="16" t="s">
        <v>151</v>
      </c>
      <c r="G3" s="16" t="s">
        <v>152</v>
      </c>
      <c r="H3" s="16" t="s">
        <v>153</v>
      </c>
      <c r="I3" s="16" t="s">
        <v>154</v>
      </c>
      <c r="J3" s="27" t="s">
        <v>180</v>
      </c>
      <c r="K3" s="27" t="s">
        <v>181</v>
      </c>
      <c r="L3" s="27" t="s">
        <v>182</v>
      </c>
      <c r="M3" s="27" t="s">
        <v>183</v>
      </c>
      <c r="N3" s="16" t="s">
        <v>184</v>
      </c>
      <c r="O3" s="16" t="s">
        <v>185</v>
      </c>
      <c r="P3" s="16" t="s">
        <v>186</v>
      </c>
      <c r="Q3" s="16" t="s">
        <v>187</v>
      </c>
      <c r="R3" s="16" t="s">
        <v>188</v>
      </c>
      <c r="S3" s="16" t="s">
        <v>189</v>
      </c>
      <c r="T3" s="16" t="s">
        <v>190</v>
      </c>
      <c r="U3" s="16" t="s">
        <v>191</v>
      </c>
      <c r="V3" s="16" t="s">
        <v>192</v>
      </c>
    </row>
    <row r="4" customFormat="false" ht="26.85" hidden="false" customHeight="false" outlineLevel="0" collapsed="false">
      <c r="A4" s="22" t="s">
        <v>193</v>
      </c>
      <c r="B4" s="21" t="s">
        <v>160</v>
      </c>
      <c r="C4" s="21" t="s">
        <v>161</v>
      </c>
      <c r="D4" s="21" t="s">
        <v>162</v>
      </c>
      <c r="E4" s="22" t="s">
        <v>163</v>
      </c>
      <c r="F4" s="21" t="s">
        <v>164</v>
      </c>
      <c r="G4" s="21" t="s">
        <v>165</v>
      </c>
      <c r="H4" s="22" t="s">
        <v>166</v>
      </c>
      <c r="I4" s="21" t="s">
        <v>167</v>
      </c>
      <c r="J4" s="22" t="s">
        <v>94</v>
      </c>
      <c r="K4" s="21" t="s">
        <v>97</v>
      </c>
      <c r="L4" s="21" t="s">
        <v>169</v>
      </c>
      <c r="M4" s="22" t="s">
        <v>194</v>
      </c>
      <c r="N4" s="21" t="s">
        <v>195</v>
      </c>
      <c r="O4" s="22"/>
      <c r="P4" s="22"/>
      <c r="Q4" s="21" t="s">
        <v>170</v>
      </c>
      <c r="R4" s="21" t="s">
        <v>196</v>
      </c>
      <c r="S4" s="22" t="s">
        <v>197</v>
      </c>
      <c r="T4" s="21" t="str">
        <f aca="false">IF(N4="","",IF(AND(N4="수정",O4&lt;&gt;""),O4,J4))</f>
        <v>T2</v>
      </c>
      <c r="U4" s="21" t="str">
        <f aca="false">IF(N4="","",IF(AND(N4="수정",P4&lt;&gt;""),P4,K4))</f>
        <v>범위</v>
      </c>
      <c r="V4" s="21" t="str">
        <f aca="false">IF(N4="","",IF(N4="수정",IF(Q4&lt;&gt;"",Q4,IF(OR(U4="명시 없음",U4="유보",U4="절 아님"),"",L4)),L4))</f>
        <v>그래서 저는</v>
      </c>
    </row>
    <row r="5" customFormat="false" ht="26.85" hidden="false" customHeight="false" outlineLevel="0" collapsed="false">
      <c r="A5" s="22" t="s">
        <v>193</v>
      </c>
      <c r="B5" s="21" t="s">
        <v>160</v>
      </c>
      <c r="C5" s="21" t="s">
        <v>161</v>
      </c>
      <c r="D5" s="21" t="s">
        <v>162</v>
      </c>
      <c r="E5" s="22" t="s">
        <v>163</v>
      </c>
      <c r="F5" s="21" t="s">
        <v>164</v>
      </c>
      <c r="G5" s="21" t="s">
        <v>165</v>
      </c>
      <c r="H5" s="22" t="s">
        <v>173</v>
      </c>
      <c r="I5" s="21" t="s">
        <v>174</v>
      </c>
      <c r="J5" s="22" t="s">
        <v>94</v>
      </c>
      <c r="K5" s="21" t="s">
        <v>97</v>
      </c>
      <c r="L5" s="21" t="s">
        <v>176</v>
      </c>
      <c r="M5" s="22" t="s">
        <v>198</v>
      </c>
      <c r="N5" s="21" t="s">
        <v>199</v>
      </c>
      <c r="O5" s="22"/>
      <c r="P5" s="22"/>
      <c r="Q5" s="21"/>
      <c r="R5" s="21"/>
      <c r="S5" s="21"/>
      <c r="T5" s="21" t="str">
        <f aca="false">IF(N5="","",IF(AND(N5="수정",O5&lt;&gt;""),O5,J5))</f>
        <v>T2</v>
      </c>
      <c r="U5" s="21" t="str">
        <f aca="false">IF(N5="","",IF(AND(N5="수정",P5&lt;&gt;""),P5,K5))</f>
        <v>범위</v>
      </c>
      <c r="V5" s="21" t="str">
        <f aca="false">IF(N5="","",IF(N5="수정",IF(Q5&lt;&gt;"",Q5,IF(OR(U5="명시 없음",U5="유보",U5="절 아님"),"",L5)),L5))</f>
        <v>실명제가</v>
      </c>
    </row>
    <row r="6" customFormat="false" ht="15" hidden="false" customHeight="false" outlineLevel="0" collapsed="false">
      <c r="A6" s="24" t="s">
        <v>200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  <c r="O6" s="25"/>
      <c r="P6" s="25"/>
      <c r="Q6" s="25"/>
      <c r="R6" s="25"/>
      <c r="S6" s="25"/>
      <c r="T6" s="28" t="str">
        <f aca="false">IF(N6="","",IF(AND(N6="수정",O6&lt;&gt;""),O6,J6))</f>
        <v/>
      </c>
      <c r="U6" s="28" t="str">
        <f aca="false">IF(N6="","",IF(AND(N6="수정",P6&lt;&gt;""),P6,K6))</f>
        <v/>
      </c>
      <c r="V6" s="28" t="str">
        <f aca="false">IF(N6="","",IF(N6="수정",IF(Q6&lt;&gt;"",Q6,IF(OR(U6="명시 없음",U6="유보",U6="절 아님"),"",L6)),L6))</f>
        <v/>
      </c>
    </row>
    <row r="7" customFormat="false" ht="15" hidden="false" customHeight="false" outlineLevel="0" collapsed="false">
      <c r="A7" s="24" t="s">
        <v>200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5"/>
      <c r="P7" s="25"/>
      <c r="Q7" s="25"/>
      <c r="R7" s="25"/>
      <c r="S7" s="25"/>
      <c r="T7" s="28" t="str">
        <f aca="false">IF(N7="","",IF(AND(N7="수정",O7&lt;&gt;""),O7,J7))</f>
        <v/>
      </c>
      <c r="U7" s="28" t="str">
        <f aca="false">IF(N7="","",IF(AND(N7="수정",P7&lt;&gt;""),P7,K7))</f>
        <v/>
      </c>
      <c r="V7" s="28" t="str">
        <f aca="false">IF(N7="","",IF(N7="수정",IF(Q7&lt;&gt;"",Q7,IF(OR(U7="명시 없음",U7="유보",U7="절 아님"),"",L7)),L7))</f>
        <v/>
      </c>
    </row>
    <row r="8" customFormat="false" ht="15" hidden="false" customHeight="false" outlineLevel="0" collapsed="false">
      <c r="A8" s="24" t="s">
        <v>200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5"/>
      <c r="P8" s="25"/>
      <c r="Q8" s="25"/>
      <c r="R8" s="25"/>
      <c r="S8" s="25"/>
      <c r="T8" s="28" t="str">
        <f aca="false">IF(N8="","",IF(AND(N8="수정",O8&lt;&gt;""),O8,J8))</f>
        <v/>
      </c>
      <c r="U8" s="28" t="str">
        <f aca="false">IF(N8="","",IF(AND(N8="수정",P8&lt;&gt;""),P8,K8))</f>
        <v/>
      </c>
      <c r="V8" s="28" t="str">
        <f aca="false">IF(N8="","",IF(N8="수정",IF(Q8&lt;&gt;"",Q8,IF(OR(U8="명시 없음",U8="유보",U8="절 아님"),"",L8)),L8))</f>
        <v/>
      </c>
    </row>
    <row r="9" customFormat="false" ht="15" hidden="false" customHeight="false" outlineLevel="0" collapsed="false">
      <c r="A9" s="24" t="s">
        <v>200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O9" s="25"/>
      <c r="P9" s="25"/>
      <c r="Q9" s="25"/>
      <c r="R9" s="25"/>
      <c r="S9" s="25"/>
      <c r="T9" s="28" t="str">
        <f aca="false">IF(N9="","",IF(AND(N9="수정",O9&lt;&gt;""),O9,J9))</f>
        <v/>
      </c>
      <c r="U9" s="28" t="str">
        <f aca="false">IF(N9="","",IF(AND(N9="수정",P9&lt;&gt;""),P9,K9))</f>
        <v/>
      </c>
      <c r="V9" s="28" t="str">
        <f aca="false">IF(N9="","",IF(N9="수정",IF(Q9&lt;&gt;"",Q9,IF(OR(U9="명시 없음",U9="유보",U9="절 아님"),"",L9)),L9))</f>
        <v/>
      </c>
    </row>
    <row r="10" customFormat="false" ht="15" hidden="false" customHeight="false" outlineLevel="0" collapsed="false">
      <c r="A10" s="24" t="s">
        <v>200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  <c r="O10" s="25"/>
      <c r="P10" s="25"/>
      <c r="Q10" s="25"/>
      <c r="R10" s="25"/>
      <c r="S10" s="25"/>
      <c r="T10" s="28" t="str">
        <f aca="false">IF(N10="","",IF(AND(N10="수정",O10&lt;&gt;""),O10,J10))</f>
        <v/>
      </c>
      <c r="U10" s="28" t="str">
        <f aca="false">IF(N10="","",IF(AND(N10="수정",P10&lt;&gt;""),P10,K10))</f>
        <v/>
      </c>
      <c r="V10" s="28" t="str">
        <f aca="false">IF(N10="","",IF(N10="수정",IF(Q10&lt;&gt;"",Q10,IF(OR(U10="명시 없음",U10="유보",U10="절 아님"),"",L10)),L10))</f>
        <v/>
      </c>
    </row>
    <row r="11" customFormat="false" ht="15" hidden="false" customHeight="false" outlineLevel="0" collapsed="false">
      <c r="A11" s="24" t="s">
        <v>200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  <c r="O11" s="25"/>
      <c r="P11" s="25"/>
      <c r="Q11" s="25"/>
      <c r="R11" s="25"/>
      <c r="S11" s="25"/>
      <c r="T11" s="28" t="str">
        <f aca="false">IF(N11="","",IF(AND(N11="수정",O11&lt;&gt;""),O11,J11))</f>
        <v/>
      </c>
      <c r="U11" s="28" t="str">
        <f aca="false">IF(N11="","",IF(AND(N11="수정",P11&lt;&gt;""),P11,K11))</f>
        <v/>
      </c>
      <c r="V11" s="28" t="str">
        <f aca="false">IF(N11="","",IF(N11="수정",IF(Q11&lt;&gt;"",Q11,IF(OR(U11="명시 없음",U11="유보",U11="절 아님"),"",L11)),L11))</f>
        <v/>
      </c>
    </row>
    <row r="12" customFormat="false" ht="15" hidden="false" customHeight="false" outlineLevel="0" collapsed="false">
      <c r="A12" s="24" t="s">
        <v>200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25"/>
      <c r="P12" s="25"/>
      <c r="Q12" s="25"/>
      <c r="R12" s="25"/>
      <c r="S12" s="25"/>
      <c r="T12" s="28" t="str">
        <f aca="false">IF(N12="","",IF(AND(N12="수정",O12&lt;&gt;""),O12,J12))</f>
        <v/>
      </c>
      <c r="U12" s="28" t="str">
        <f aca="false">IF(N12="","",IF(AND(N12="수정",P12&lt;&gt;""),P12,K12))</f>
        <v/>
      </c>
      <c r="V12" s="28" t="str">
        <f aca="false">IF(N12="","",IF(N12="수정",IF(Q12&lt;&gt;"",Q12,IF(OR(U12="명시 없음",U12="유보",U12="절 아님"),"",L12)),L12))</f>
        <v/>
      </c>
    </row>
    <row r="13" customFormat="false" ht="15" hidden="false" customHeight="false" outlineLevel="0" collapsed="false">
      <c r="A13" s="24" t="s">
        <v>200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5"/>
      <c r="P13" s="25"/>
      <c r="Q13" s="25"/>
      <c r="R13" s="25"/>
      <c r="S13" s="25"/>
      <c r="T13" s="28" t="str">
        <f aca="false">IF(N13="","",IF(AND(N13="수정",O13&lt;&gt;""),O13,J13))</f>
        <v/>
      </c>
      <c r="U13" s="28" t="str">
        <f aca="false">IF(N13="","",IF(AND(N13="수정",P13&lt;&gt;""),P13,K13))</f>
        <v/>
      </c>
      <c r="V13" s="28" t="str">
        <f aca="false">IF(N13="","",IF(N13="수정",IF(Q13&lt;&gt;"",Q13,IF(OR(U13="명시 없음",U13="유보",U13="절 아님"),"",L13)),L13))</f>
        <v/>
      </c>
    </row>
    <row r="14" customFormat="false" ht="15" hidden="false" customHeight="false" outlineLevel="0" collapsed="false">
      <c r="A14" s="24" t="s">
        <v>200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25"/>
      <c r="P14" s="25"/>
      <c r="Q14" s="25"/>
      <c r="R14" s="25"/>
      <c r="S14" s="25"/>
      <c r="T14" s="28" t="str">
        <f aca="false">IF(N14="","",IF(AND(N14="수정",O14&lt;&gt;""),O14,J14))</f>
        <v/>
      </c>
      <c r="U14" s="28" t="str">
        <f aca="false">IF(N14="","",IF(AND(N14="수정",P14&lt;&gt;""),P14,K14))</f>
        <v/>
      </c>
      <c r="V14" s="28" t="str">
        <f aca="false">IF(N14="","",IF(N14="수정",IF(Q14&lt;&gt;"",Q14,IF(OR(U14="명시 없음",U14="유보",U14="절 아님"),"",L14)),L14))</f>
        <v/>
      </c>
    </row>
    <row r="15" customFormat="false" ht="15" hidden="false" customHeight="false" outlineLevel="0" collapsed="false">
      <c r="A15" s="24" t="s">
        <v>200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8" t="str">
        <f aca="false">IF(N15="","",IF(AND(N15="수정",O15&lt;&gt;""),O15,J15))</f>
        <v/>
      </c>
      <c r="U15" s="28" t="str">
        <f aca="false">IF(N15="","",IF(AND(N15="수정",P15&lt;&gt;""),P15,K15))</f>
        <v/>
      </c>
      <c r="V15" s="28" t="str">
        <f aca="false">IF(N15="","",IF(N15="수정",IF(Q15&lt;&gt;"",Q15,IF(OR(U15="명시 없음",U15="유보",U15="절 아님"),"",L15)),L15))</f>
        <v/>
      </c>
    </row>
    <row r="16" customFormat="false" ht="15" hidden="false" customHeight="false" outlineLevel="0" collapsed="false">
      <c r="A16" s="24" t="s">
        <v>200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5"/>
      <c r="P16" s="25"/>
      <c r="Q16" s="25"/>
      <c r="R16" s="25"/>
      <c r="S16" s="25"/>
      <c r="T16" s="28" t="str">
        <f aca="false">IF(N16="","",IF(AND(N16="수정",O16&lt;&gt;""),O16,J16))</f>
        <v/>
      </c>
      <c r="U16" s="28" t="str">
        <f aca="false">IF(N16="","",IF(AND(N16="수정",P16&lt;&gt;""),P16,K16))</f>
        <v/>
      </c>
      <c r="V16" s="28" t="str">
        <f aca="false">IF(N16="","",IF(N16="수정",IF(Q16&lt;&gt;"",Q16,IF(OR(U16="명시 없음",U16="유보",U16="절 아님"),"",L16)),L16))</f>
        <v/>
      </c>
    </row>
    <row r="17" customFormat="false" ht="15" hidden="false" customHeight="false" outlineLevel="0" collapsed="false">
      <c r="A17" s="24" t="s">
        <v>200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  <c r="O17" s="25"/>
      <c r="P17" s="25"/>
      <c r="Q17" s="25"/>
      <c r="R17" s="25"/>
      <c r="S17" s="25"/>
      <c r="T17" s="28" t="str">
        <f aca="false">IF(N17="","",IF(AND(N17="수정",O17&lt;&gt;""),O17,J17))</f>
        <v/>
      </c>
      <c r="U17" s="28" t="str">
        <f aca="false">IF(N17="","",IF(AND(N17="수정",P17&lt;&gt;""),P17,K17))</f>
        <v/>
      </c>
      <c r="V17" s="28" t="str">
        <f aca="false">IF(N17="","",IF(N17="수정",IF(Q17&lt;&gt;"",Q17,IF(OR(U17="명시 없음",U17="유보",U17="절 아님"),"",L17)),L17))</f>
        <v/>
      </c>
    </row>
    <row r="18" customFormat="false" ht="15" hidden="false" customHeight="false" outlineLevel="0" collapsed="false">
      <c r="A18" s="24" t="s">
        <v>200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25"/>
      <c r="P18" s="25"/>
      <c r="Q18" s="25"/>
      <c r="R18" s="25"/>
      <c r="S18" s="25"/>
      <c r="T18" s="28" t="str">
        <f aca="false">IF(N18="","",IF(AND(N18="수정",O18&lt;&gt;""),O18,J18))</f>
        <v/>
      </c>
      <c r="U18" s="28" t="str">
        <f aca="false">IF(N18="","",IF(AND(N18="수정",P18&lt;&gt;""),P18,K18))</f>
        <v/>
      </c>
      <c r="V18" s="28" t="str">
        <f aca="false">IF(N18="","",IF(N18="수정",IF(Q18&lt;&gt;"",Q18,IF(OR(U18="명시 없음",U18="유보",U18="절 아님"),"",L18)),L18))</f>
        <v/>
      </c>
    </row>
    <row r="19" customFormat="false" ht="15" hidden="false" customHeight="false" outlineLevel="0" collapsed="false">
      <c r="A19" s="24" t="s">
        <v>200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5"/>
      <c r="O19" s="25"/>
      <c r="P19" s="25"/>
      <c r="Q19" s="25"/>
      <c r="R19" s="25"/>
      <c r="S19" s="25"/>
      <c r="T19" s="28" t="str">
        <f aca="false">IF(N19="","",IF(AND(N19="수정",O19&lt;&gt;""),O19,J19))</f>
        <v/>
      </c>
      <c r="U19" s="28" t="str">
        <f aca="false">IF(N19="","",IF(AND(N19="수정",P19&lt;&gt;""),P19,K19))</f>
        <v/>
      </c>
      <c r="V19" s="28" t="str">
        <f aca="false">IF(N19="","",IF(N19="수정",IF(Q19&lt;&gt;"",Q19,IF(OR(U19="명시 없음",U19="유보",U19="절 아님"),"",L19)),L19))</f>
        <v/>
      </c>
    </row>
    <row r="20" customFormat="false" ht="15" hidden="false" customHeight="false" outlineLevel="0" collapsed="false">
      <c r="A20" s="24" t="s">
        <v>200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5"/>
      <c r="Q20" s="25"/>
      <c r="R20" s="25"/>
      <c r="S20" s="25"/>
      <c r="T20" s="28" t="str">
        <f aca="false">IF(N20="","",IF(AND(N20="수정",O20&lt;&gt;""),O20,J20))</f>
        <v/>
      </c>
      <c r="U20" s="28" t="str">
        <f aca="false">IF(N20="","",IF(AND(N20="수정",P20&lt;&gt;""),P20,K20))</f>
        <v/>
      </c>
      <c r="V20" s="28" t="str">
        <f aca="false">IF(N20="","",IF(N20="수정",IF(Q20&lt;&gt;"",Q20,IF(OR(U20="명시 없음",U20="유보",U20="절 아님"),"",L20)),L20))</f>
        <v/>
      </c>
    </row>
    <row r="21" customFormat="false" ht="15" hidden="false" customHeight="false" outlineLevel="0" collapsed="false">
      <c r="A21" s="24" t="s">
        <v>200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5"/>
      <c r="P21" s="25"/>
      <c r="Q21" s="25"/>
      <c r="R21" s="25"/>
      <c r="S21" s="25"/>
      <c r="T21" s="28" t="str">
        <f aca="false">IF(N21="","",IF(AND(N21="수정",O21&lt;&gt;""),O21,J21))</f>
        <v/>
      </c>
      <c r="U21" s="28" t="str">
        <f aca="false">IF(N21="","",IF(AND(N21="수정",P21&lt;&gt;""),P21,K21))</f>
        <v/>
      </c>
      <c r="V21" s="28" t="str">
        <f aca="false">IF(N21="","",IF(N21="수정",IF(Q21&lt;&gt;"",Q21,IF(OR(U21="명시 없음",U21="유보",U21="절 아님"),"",L21)),L21))</f>
        <v/>
      </c>
    </row>
    <row r="22" customFormat="false" ht="15" hidden="false" customHeight="false" outlineLevel="0" collapsed="false">
      <c r="A22" s="24" t="s">
        <v>200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25"/>
      <c r="P22" s="25"/>
      <c r="Q22" s="25"/>
      <c r="R22" s="25"/>
      <c r="S22" s="25"/>
      <c r="T22" s="28" t="str">
        <f aca="false">IF(N22="","",IF(AND(N22="수정",O22&lt;&gt;""),O22,J22))</f>
        <v/>
      </c>
      <c r="U22" s="28" t="str">
        <f aca="false">IF(N22="","",IF(AND(N22="수정",P22&lt;&gt;""),P22,K22))</f>
        <v/>
      </c>
      <c r="V22" s="28" t="str">
        <f aca="false">IF(N22="","",IF(N22="수정",IF(Q22&lt;&gt;"",Q22,IF(OR(U22="명시 없음",U22="유보",U22="절 아님"),"",L22)),L22))</f>
        <v/>
      </c>
    </row>
    <row r="23" customFormat="false" ht="15" hidden="false" customHeight="false" outlineLevel="0" collapsed="false">
      <c r="A23" s="24" t="s">
        <v>200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  <c r="O23" s="25"/>
      <c r="P23" s="25"/>
      <c r="Q23" s="25"/>
      <c r="R23" s="25"/>
      <c r="S23" s="25"/>
      <c r="T23" s="28" t="str">
        <f aca="false">IF(N23="","",IF(AND(N23="수정",O23&lt;&gt;""),O23,J23))</f>
        <v/>
      </c>
      <c r="U23" s="28" t="str">
        <f aca="false">IF(N23="","",IF(AND(N23="수정",P23&lt;&gt;""),P23,K23))</f>
        <v/>
      </c>
      <c r="V23" s="28" t="str">
        <f aca="false">IF(N23="","",IF(N23="수정",IF(Q23&lt;&gt;"",Q23,IF(OR(U23="명시 없음",U23="유보",U23="절 아님"),"",L23)),L23))</f>
        <v/>
      </c>
    </row>
    <row r="24" customFormat="false" ht="15" hidden="false" customHeight="false" outlineLevel="0" collapsed="false">
      <c r="A24" s="24" t="s">
        <v>200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  <c r="O24" s="25"/>
      <c r="P24" s="25"/>
      <c r="Q24" s="25"/>
      <c r="R24" s="25"/>
      <c r="S24" s="25"/>
      <c r="T24" s="28" t="str">
        <f aca="false">IF(N24="","",IF(AND(N24="수정",O24&lt;&gt;""),O24,J24))</f>
        <v/>
      </c>
      <c r="U24" s="28" t="str">
        <f aca="false">IF(N24="","",IF(AND(N24="수정",P24&lt;&gt;""),P24,K24))</f>
        <v/>
      </c>
      <c r="V24" s="28" t="str">
        <f aca="false">IF(N24="","",IF(N24="수정",IF(Q24&lt;&gt;"",Q24,IF(OR(U24="명시 없음",U24="유보",U24="절 아님"),"",L24)),L24))</f>
        <v/>
      </c>
    </row>
    <row r="25" customFormat="false" ht="15" hidden="false" customHeight="false" outlineLevel="0" collapsed="false">
      <c r="A25" s="24" t="s">
        <v>200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/>
      <c r="O25" s="25"/>
      <c r="P25" s="25"/>
      <c r="Q25" s="25"/>
      <c r="R25" s="25"/>
      <c r="S25" s="25"/>
      <c r="T25" s="28" t="str">
        <f aca="false">IF(N25="","",IF(AND(N25="수정",O25&lt;&gt;""),O25,J25))</f>
        <v/>
      </c>
      <c r="U25" s="28" t="str">
        <f aca="false">IF(N25="","",IF(AND(N25="수정",P25&lt;&gt;""),P25,K25))</f>
        <v/>
      </c>
      <c r="V25" s="28" t="str">
        <f aca="false">IF(N25="","",IF(N25="수정",IF(Q25&lt;&gt;"",Q25,IF(OR(U25="명시 없음",U25="유보",U25="절 아님"),"",L25)),L25))</f>
        <v/>
      </c>
    </row>
    <row r="26" customFormat="false" ht="15" hidden="false" customHeight="false" outlineLevel="0" collapsed="false">
      <c r="A26" s="24" t="s">
        <v>200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5"/>
      <c r="Q26" s="25"/>
      <c r="R26" s="25"/>
      <c r="S26" s="25"/>
      <c r="T26" s="28" t="str">
        <f aca="false">IF(N26="","",IF(AND(N26="수정",O26&lt;&gt;""),O26,J26))</f>
        <v/>
      </c>
      <c r="U26" s="28" t="str">
        <f aca="false">IF(N26="","",IF(AND(N26="수정",P26&lt;&gt;""),P26,K26))</f>
        <v/>
      </c>
      <c r="V26" s="28" t="str">
        <f aca="false">IF(N26="","",IF(N26="수정",IF(Q26&lt;&gt;"",Q26,IF(OR(U26="명시 없음",U26="유보",U26="절 아님"),"",L26)),L26))</f>
        <v/>
      </c>
    </row>
    <row r="27" customFormat="false" ht="15" hidden="false" customHeight="false" outlineLevel="0" collapsed="false">
      <c r="A27" s="24" t="s">
        <v>200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25"/>
      <c r="P27" s="25"/>
      <c r="Q27" s="25"/>
      <c r="R27" s="25"/>
      <c r="S27" s="25"/>
      <c r="T27" s="28" t="str">
        <f aca="false">IF(N27="","",IF(AND(N27="수정",O27&lt;&gt;""),O27,J27))</f>
        <v/>
      </c>
      <c r="U27" s="28" t="str">
        <f aca="false">IF(N27="","",IF(AND(N27="수정",P27&lt;&gt;""),P27,K27))</f>
        <v/>
      </c>
      <c r="V27" s="28" t="str">
        <f aca="false">IF(N27="","",IF(N27="수정",IF(Q27&lt;&gt;"",Q27,IF(OR(U27="명시 없음",U27="유보",U27="절 아님"),"",L27)),L27))</f>
        <v/>
      </c>
    </row>
    <row r="28" customFormat="false" ht="15" hidden="false" customHeight="false" outlineLevel="0" collapsed="false">
      <c r="A28" s="24" t="s">
        <v>200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5"/>
      <c r="Q28" s="25"/>
      <c r="R28" s="25"/>
      <c r="S28" s="25"/>
      <c r="T28" s="28" t="str">
        <f aca="false">IF(N28="","",IF(AND(N28="수정",O28&lt;&gt;""),O28,J28))</f>
        <v/>
      </c>
      <c r="U28" s="28" t="str">
        <f aca="false">IF(N28="","",IF(AND(N28="수정",P28&lt;&gt;""),P28,K28))</f>
        <v/>
      </c>
      <c r="V28" s="28" t="str">
        <f aca="false">IF(N28="","",IF(N28="수정",IF(Q28&lt;&gt;"",Q28,IF(OR(U28="명시 없음",U28="유보",U28="절 아님"),"",L28)),L28))</f>
        <v/>
      </c>
    </row>
    <row r="29" customFormat="false" ht="15" hidden="false" customHeight="false" outlineLevel="0" collapsed="false">
      <c r="A29" s="24" t="s">
        <v>200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5"/>
      <c r="Q29" s="25"/>
      <c r="R29" s="25"/>
      <c r="S29" s="25"/>
      <c r="T29" s="28" t="str">
        <f aca="false">IF(N29="","",IF(AND(N29="수정",O29&lt;&gt;""),O29,J29))</f>
        <v/>
      </c>
      <c r="U29" s="28" t="str">
        <f aca="false">IF(N29="","",IF(AND(N29="수정",P29&lt;&gt;""),P29,K29))</f>
        <v/>
      </c>
      <c r="V29" s="28" t="str">
        <f aca="false">IF(N29="","",IF(N29="수정",IF(Q29&lt;&gt;"",Q29,IF(OR(U29="명시 없음",U29="유보",U29="절 아님"),"",L29)),L29))</f>
        <v/>
      </c>
    </row>
    <row r="30" customFormat="false" ht="15" hidden="false" customHeight="false" outlineLevel="0" collapsed="false">
      <c r="A30" s="24" t="s">
        <v>200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5"/>
      <c r="Q30" s="25"/>
      <c r="R30" s="25"/>
      <c r="S30" s="25"/>
      <c r="T30" s="28" t="str">
        <f aca="false">IF(N30="","",IF(AND(N30="수정",O30&lt;&gt;""),O30,J30))</f>
        <v/>
      </c>
      <c r="U30" s="28" t="str">
        <f aca="false">IF(N30="","",IF(AND(N30="수정",P30&lt;&gt;""),P30,K30))</f>
        <v/>
      </c>
      <c r="V30" s="28" t="str">
        <f aca="false">IF(N30="","",IF(N30="수정",IF(Q30&lt;&gt;"",Q30,IF(OR(U30="명시 없음",U30="유보",U30="절 아님"),"",L30)),L30))</f>
        <v/>
      </c>
    </row>
    <row r="31" customFormat="false" ht="15" hidden="false" customHeight="false" outlineLevel="0" collapsed="false">
      <c r="A31" s="24" t="s">
        <v>200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5"/>
      <c r="Q31" s="25"/>
      <c r="R31" s="25"/>
      <c r="S31" s="25"/>
      <c r="T31" s="28" t="str">
        <f aca="false">IF(N31="","",IF(AND(N31="수정",O31&lt;&gt;""),O31,J31))</f>
        <v/>
      </c>
      <c r="U31" s="28" t="str">
        <f aca="false">IF(N31="","",IF(AND(N31="수정",P31&lt;&gt;""),P31,K31))</f>
        <v/>
      </c>
      <c r="V31" s="28" t="str">
        <f aca="false">IF(N31="","",IF(N31="수정",IF(Q31&lt;&gt;"",Q31,IF(OR(U31="명시 없음",U31="유보",U31="절 아님"),"",L31)),L31))</f>
        <v/>
      </c>
    </row>
    <row r="32" customFormat="false" ht="15" hidden="false" customHeight="false" outlineLevel="0" collapsed="false">
      <c r="A32" s="24" t="s">
        <v>200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5"/>
      <c r="Q32" s="25"/>
      <c r="R32" s="25"/>
      <c r="S32" s="25"/>
      <c r="T32" s="28" t="str">
        <f aca="false">IF(N32="","",IF(AND(N32="수정",O32&lt;&gt;""),O32,J32))</f>
        <v/>
      </c>
      <c r="U32" s="28" t="str">
        <f aca="false">IF(N32="","",IF(AND(N32="수정",P32&lt;&gt;""),P32,K32))</f>
        <v/>
      </c>
      <c r="V32" s="28" t="str">
        <f aca="false">IF(N32="","",IF(N32="수정",IF(Q32&lt;&gt;"",Q32,IF(OR(U32="명시 없음",U32="유보",U32="절 아님"),"",L32)),L32))</f>
        <v/>
      </c>
    </row>
    <row r="33" customFormat="false" ht="15" hidden="false" customHeight="false" outlineLevel="0" collapsed="false">
      <c r="A33" s="24" t="s">
        <v>200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  <c r="O33" s="25"/>
      <c r="P33" s="25"/>
      <c r="Q33" s="25"/>
      <c r="R33" s="25"/>
      <c r="S33" s="25"/>
      <c r="T33" s="28" t="str">
        <f aca="false">IF(N33="","",IF(AND(N33="수정",O33&lt;&gt;""),O33,J33))</f>
        <v/>
      </c>
      <c r="U33" s="28" t="str">
        <f aca="false">IF(N33="","",IF(AND(N33="수정",P33&lt;&gt;""),P33,K33))</f>
        <v/>
      </c>
      <c r="V33" s="28" t="str">
        <f aca="false">IF(N33="","",IF(N33="수정",IF(Q33&lt;&gt;"",Q33,IF(OR(U33="명시 없음",U33="유보",U33="절 아님"),"",L33)),L33))</f>
        <v/>
      </c>
    </row>
    <row r="34" customFormat="false" ht="15" hidden="false" customHeight="false" outlineLevel="0" collapsed="false">
      <c r="A34" s="24" t="s">
        <v>200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  <c r="O34" s="25"/>
      <c r="P34" s="25"/>
      <c r="Q34" s="25"/>
      <c r="R34" s="25"/>
      <c r="S34" s="25"/>
      <c r="T34" s="28" t="str">
        <f aca="false">IF(N34="","",IF(AND(N34="수정",O34&lt;&gt;""),O34,J34))</f>
        <v/>
      </c>
      <c r="U34" s="28" t="str">
        <f aca="false">IF(N34="","",IF(AND(N34="수정",P34&lt;&gt;""),P34,K34))</f>
        <v/>
      </c>
      <c r="V34" s="28" t="str">
        <f aca="false">IF(N34="","",IF(N34="수정",IF(Q34&lt;&gt;"",Q34,IF(OR(U34="명시 없음",U34="유보",U34="절 아님"),"",L34)),L34))</f>
        <v/>
      </c>
    </row>
    <row r="35" customFormat="false" ht="15" hidden="false" customHeight="false" outlineLevel="0" collapsed="false">
      <c r="A35" s="24" t="s">
        <v>200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5"/>
      <c r="P35" s="25"/>
      <c r="Q35" s="25"/>
      <c r="R35" s="25"/>
      <c r="S35" s="25"/>
      <c r="T35" s="28" t="str">
        <f aca="false">IF(N35="","",IF(AND(N35="수정",O35&lt;&gt;""),O35,J35))</f>
        <v/>
      </c>
      <c r="U35" s="28" t="str">
        <f aca="false">IF(N35="","",IF(AND(N35="수정",P35&lt;&gt;""),P35,K35))</f>
        <v/>
      </c>
      <c r="V35" s="28" t="str">
        <f aca="false">IF(N35="","",IF(N35="수정",IF(Q35&lt;&gt;"",Q35,IF(OR(U35="명시 없음",U35="유보",U35="절 아님"),"",L35)),L35))</f>
        <v/>
      </c>
    </row>
    <row r="36" customFormat="false" ht="15" hidden="false" customHeight="false" outlineLevel="0" collapsed="false">
      <c r="A36" s="24" t="s">
        <v>200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25"/>
      <c r="P36" s="25"/>
      <c r="Q36" s="25"/>
      <c r="R36" s="25"/>
      <c r="S36" s="25"/>
      <c r="T36" s="28" t="str">
        <f aca="false">IF(N36="","",IF(AND(N36="수정",O36&lt;&gt;""),O36,J36))</f>
        <v/>
      </c>
      <c r="U36" s="28" t="str">
        <f aca="false">IF(N36="","",IF(AND(N36="수정",P36&lt;&gt;""),P36,K36))</f>
        <v/>
      </c>
      <c r="V36" s="28" t="str">
        <f aca="false">IF(N36="","",IF(N36="수정",IF(Q36&lt;&gt;"",Q36,IF(OR(U36="명시 없음",U36="유보",U36="절 아님"),"",L36)),L36))</f>
        <v/>
      </c>
    </row>
    <row r="37" customFormat="false" ht="15" hidden="false" customHeight="false" outlineLevel="0" collapsed="false">
      <c r="A37" s="24" t="s">
        <v>200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5"/>
      <c r="Q37" s="25"/>
      <c r="R37" s="25"/>
      <c r="S37" s="25"/>
      <c r="T37" s="28" t="str">
        <f aca="false">IF(N37="","",IF(AND(N37="수정",O37&lt;&gt;""),O37,J37))</f>
        <v/>
      </c>
      <c r="U37" s="28" t="str">
        <f aca="false">IF(N37="","",IF(AND(N37="수정",P37&lt;&gt;""),P37,K37))</f>
        <v/>
      </c>
      <c r="V37" s="28" t="str">
        <f aca="false">IF(N37="","",IF(N37="수정",IF(Q37&lt;&gt;"",Q37,IF(OR(U37="명시 없음",U37="유보",U37="절 아님"),"",L37)),L37))</f>
        <v/>
      </c>
    </row>
    <row r="38" customFormat="false" ht="15" hidden="false" customHeight="false" outlineLevel="0" collapsed="false">
      <c r="A38" s="24" t="s">
        <v>200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5"/>
      <c r="Q38" s="25"/>
      <c r="R38" s="25"/>
      <c r="S38" s="25"/>
      <c r="T38" s="28" t="str">
        <f aca="false">IF(N38="","",IF(AND(N38="수정",O38&lt;&gt;""),O38,J38))</f>
        <v/>
      </c>
      <c r="U38" s="28" t="str">
        <f aca="false">IF(N38="","",IF(AND(N38="수정",P38&lt;&gt;""),P38,K38))</f>
        <v/>
      </c>
      <c r="V38" s="28" t="str">
        <f aca="false">IF(N38="","",IF(N38="수정",IF(Q38&lt;&gt;"",Q38,IF(OR(U38="명시 없음",U38="유보",U38="절 아님"),"",L38)),L38))</f>
        <v/>
      </c>
    </row>
    <row r="39" customFormat="false" ht="15" hidden="false" customHeight="false" outlineLevel="0" collapsed="false">
      <c r="A39" s="24" t="s">
        <v>200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5"/>
      <c r="O39" s="25"/>
      <c r="P39" s="25"/>
      <c r="Q39" s="25"/>
      <c r="R39" s="25"/>
      <c r="S39" s="25"/>
      <c r="T39" s="28" t="str">
        <f aca="false">IF(N39="","",IF(AND(N39="수정",O39&lt;&gt;""),O39,J39))</f>
        <v/>
      </c>
      <c r="U39" s="28" t="str">
        <f aca="false">IF(N39="","",IF(AND(N39="수정",P39&lt;&gt;""),P39,K39))</f>
        <v/>
      </c>
      <c r="V39" s="28" t="str">
        <f aca="false">IF(N39="","",IF(N39="수정",IF(Q39&lt;&gt;"",Q39,IF(OR(U39="명시 없음",U39="유보",U39="절 아님"),"",L39)),L39))</f>
        <v/>
      </c>
    </row>
    <row r="40" customFormat="false" ht="15" hidden="false" customHeight="false" outlineLevel="0" collapsed="false">
      <c r="A40" s="24" t="s">
        <v>200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  <c r="O40" s="25"/>
      <c r="P40" s="25"/>
      <c r="Q40" s="25"/>
      <c r="R40" s="25"/>
      <c r="S40" s="25"/>
      <c r="T40" s="28" t="str">
        <f aca="false">IF(N40="","",IF(AND(N40="수정",O40&lt;&gt;""),O40,J40))</f>
        <v/>
      </c>
      <c r="U40" s="28" t="str">
        <f aca="false">IF(N40="","",IF(AND(N40="수정",P40&lt;&gt;""),P40,K40))</f>
        <v/>
      </c>
      <c r="V40" s="28" t="str">
        <f aca="false">IF(N40="","",IF(N40="수정",IF(Q40&lt;&gt;"",Q40,IF(OR(U40="명시 없음",U40="유보",U40="절 아님"),"",L40)),L40))</f>
        <v/>
      </c>
    </row>
    <row r="41" customFormat="false" ht="15" hidden="false" customHeight="false" outlineLevel="0" collapsed="false">
      <c r="A41" s="24" t="s">
        <v>200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  <c r="O41" s="25"/>
      <c r="P41" s="25"/>
      <c r="Q41" s="25"/>
      <c r="R41" s="25"/>
      <c r="S41" s="25"/>
      <c r="T41" s="28" t="str">
        <f aca="false">IF(N41="","",IF(AND(N41="수정",O41&lt;&gt;""),O41,J41))</f>
        <v/>
      </c>
      <c r="U41" s="28" t="str">
        <f aca="false">IF(N41="","",IF(AND(N41="수정",P41&lt;&gt;""),P41,K41))</f>
        <v/>
      </c>
      <c r="V41" s="28" t="str">
        <f aca="false">IF(N41="","",IF(N41="수정",IF(Q41&lt;&gt;"",Q41,IF(OR(U41="명시 없음",U41="유보",U41="절 아님"),"",L41)),L41))</f>
        <v/>
      </c>
    </row>
    <row r="42" customFormat="false" ht="15" hidden="false" customHeight="false" outlineLevel="0" collapsed="false">
      <c r="A42" s="24" t="s">
        <v>200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  <c r="O42" s="25"/>
      <c r="P42" s="25"/>
      <c r="Q42" s="25"/>
      <c r="R42" s="25"/>
      <c r="S42" s="25"/>
      <c r="T42" s="28" t="str">
        <f aca="false">IF(N42="","",IF(AND(N42="수정",O42&lt;&gt;""),O42,J42))</f>
        <v/>
      </c>
      <c r="U42" s="28" t="str">
        <f aca="false">IF(N42="","",IF(AND(N42="수정",P42&lt;&gt;""),P42,K42))</f>
        <v/>
      </c>
      <c r="V42" s="28" t="str">
        <f aca="false">IF(N42="","",IF(N42="수정",IF(Q42&lt;&gt;"",Q42,IF(OR(U42="명시 없음",U42="유보",U42="절 아님"),"",L42)),L42))</f>
        <v/>
      </c>
    </row>
    <row r="43" customFormat="false" ht="15" hidden="false" customHeight="false" outlineLevel="0" collapsed="false">
      <c r="A43" s="24" t="s">
        <v>200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  <c r="O43" s="25"/>
      <c r="P43" s="25"/>
      <c r="Q43" s="25"/>
      <c r="R43" s="25"/>
      <c r="S43" s="25"/>
      <c r="T43" s="28" t="str">
        <f aca="false">IF(N43="","",IF(AND(N43="수정",O43&lt;&gt;""),O43,J43))</f>
        <v/>
      </c>
      <c r="U43" s="28" t="str">
        <f aca="false">IF(N43="","",IF(AND(N43="수정",P43&lt;&gt;""),P43,K43))</f>
        <v/>
      </c>
      <c r="V43" s="28" t="str">
        <f aca="false">IF(N43="","",IF(N43="수정",IF(Q43&lt;&gt;"",Q43,IF(OR(U43="명시 없음",U43="유보",U43="절 아님"),"",L43)),L43))</f>
        <v/>
      </c>
    </row>
    <row r="44" customFormat="false" ht="15" hidden="false" customHeight="false" outlineLevel="0" collapsed="false">
      <c r="A44" s="24" t="s">
        <v>200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5"/>
      <c r="O44" s="25"/>
      <c r="P44" s="25"/>
      <c r="Q44" s="25"/>
      <c r="R44" s="25"/>
      <c r="S44" s="25"/>
      <c r="T44" s="28" t="str">
        <f aca="false">IF(N44="","",IF(AND(N44="수정",O44&lt;&gt;""),O44,J44))</f>
        <v/>
      </c>
      <c r="U44" s="28" t="str">
        <f aca="false">IF(N44="","",IF(AND(N44="수정",P44&lt;&gt;""),P44,K44))</f>
        <v/>
      </c>
      <c r="V44" s="28" t="str">
        <f aca="false">IF(N44="","",IF(N44="수정",IF(Q44&lt;&gt;"",Q44,IF(OR(U44="명시 없음",U44="유보",U44="절 아님"),"",L44)),L44))</f>
        <v/>
      </c>
    </row>
    <row r="45" customFormat="false" ht="15" hidden="false" customHeight="false" outlineLevel="0" collapsed="false">
      <c r="A45" s="24" t="s">
        <v>200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5"/>
      <c r="O45" s="25"/>
      <c r="P45" s="25"/>
      <c r="Q45" s="25"/>
      <c r="R45" s="25"/>
      <c r="S45" s="25"/>
      <c r="T45" s="28" t="str">
        <f aca="false">IF(N45="","",IF(AND(N45="수정",O45&lt;&gt;""),O45,J45))</f>
        <v/>
      </c>
      <c r="U45" s="28" t="str">
        <f aca="false">IF(N45="","",IF(AND(N45="수정",P45&lt;&gt;""),P45,K45))</f>
        <v/>
      </c>
      <c r="V45" s="28" t="str">
        <f aca="false">IF(N45="","",IF(N45="수정",IF(Q45&lt;&gt;"",Q45,IF(OR(U45="명시 없음",U45="유보",U45="절 아님"),"",L45)),L45))</f>
        <v/>
      </c>
    </row>
    <row r="46" customFormat="false" ht="15" hidden="false" customHeight="false" outlineLevel="0" collapsed="false">
      <c r="A46" s="24" t="s">
        <v>200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  <c r="O46" s="25"/>
      <c r="P46" s="25"/>
      <c r="Q46" s="25"/>
      <c r="R46" s="25"/>
      <c r="S46" s="25"/>
      <c r="T46" s="28" t="str">
        <f aca="false">IF(N46="","",IF(AND(N46="수정",O46&lt;&gt;""),O46,J46))</f>
        <v/>
      </c>
      <c r="U46" s="28" t="str">
        <f aca="false">IF(N46="","",IF(AND(N46="수정",P46&lt;&gt;""),P46,K46))</f>
        <v/>
      </c>
      <c r="V46" s="28" t="str">
        <f aca="false">IF(N46="","",IF(N46="수정",IF(Q46&lt;&gt;"",Q46,IF(OR(U46="명시 없음",U46="유보",U46="절 아님"),"",L46)),L46))</f>
        <v/>
      </c>
    </row>
    <row r="47" customFormat="false" ht="15" hidden="false" customHeight="false" outlineLevel="0" collapsed="false">
      <c r="A47" s="24" t="s">
        <v>200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  <c r="O47" s="25"/>
      <c r="P47" s="25"/>
      <c r="Q47" s="25"/>
      <c r="R47" s="25"/>
      <c r="S47" s="25"/>
      <c r="T47" s="28" t="str">
        <f aca="false">IF(N47="","",IF(AND(N47="수정",O47&lt;&gt;""),O47,J47))</f>
        <v/>
      </c>
      <c r="U47" s="28" t="str">
        <f aca="false">IF(N47="","",IF(AND(N47="수정",P47&lt;&gt;""),P47,K47))</f>
        <v/>
      </c>
      <c r="V47" s="28" t="str">
        <f aca="false">IF(N47="","",IF(N47="수정",IF(Q47&lt;&gt;"",Q47,IF(OR(U47="명시 없음",U47="유보",U47="절 아님"),"",L47)),L47))</f>
        <v/>
      </c>
    </row>
    <row r="48" customFormat="false" ht="15" hidden="false" customHeight="false" outlineLevel="0" collapsed="false">
      <c r="A48" s="24" t="s">
        <v>200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  <c r="O48" s="25"/>
      <c r="P48" s="25"/>
      <c r="Q48" s="25"/>
      <c r="R48" s="25"/>
      <c r="S48" s="25"/>
      <c r="T48" s="28" t="str">
        <f aca="false">IF(N48="","",IF(AND(N48="수정",O48&lt;&gt;""),O48,J48))</f>
        <v/>
      </c>
      <c r="U48" s="28" t="str">
        <f aca="false">IF(N48="","",IF(AND(N48="수정",P48&lt;&gt;""),P48,K48))</f>
        <v/>
      </c>
      <c r="V48" s="28" t="str">
        <f aca="false">IF(N48="","",IF(N48="수정",IF(Q48&lt;&gt;"",Q48,IF(OR(U48="명시 없음",U48="유보",U48="절 아님"),"",L48)),L48))</f>
        <v/>
      </c>
    </row>
    <row r="49" customFormat="false" ht="15" hidden="false" customHeight="false" outlineLevel="0" collapsed="false">
      <c r="A49" s="24" t="s">
        <v>200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5"/>
      <c r="O49" s="25"/>
      <c r="P49" s="25"/>
      <c r="Q49" s="25"/>
      <c r="R49" s="25"/>
      <c r="S49" s="25"/>
      <c r="T49" s="28" t="str">
        <f aca="false">IF(N49="","",IF(AND(N49="수정",O49&lt;&gt;""),O49,J49))</f>
        <v/>
      </c>
      <c r="U49" s="28" t="str">
        <f aca="false">IF(N49="","",IF(AND(N49="수정",P49&lt;&gt;""),P49,K49))</f>
        <v/>
      </c>
      <c r="V49" s="28" t="str">
        <f aca="false">IF(N49="","",IF(N49="수정",IF(Q49&lt;&gt;"",Q49,IF(OR(U49="명시 없음",U49="유보",U49="절 아님"),"",L49)),L49))</f>
        <v/>
      </c>
    </row>
    <row r="50" customFormat="false" ht="15" hidden="false" customHeight="false" outlineLevel="0" collapsed="false">
      <c r="A50" s="24" t="s">
        <v>200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  <c r="O50" s="25"/>
      <c r="P50" s="25"/>
      <c r="Q50" s="25"/>
      <c r="R50" s="25"/>
      <c r="S50" s="25"/>
      <c r="T50" s="28" t="str">
        <f aca="false">IF(N50="","",IF(AND(N50="수정",O50&lt;&gt;""),O50,J50))</f>
        <v/>
      </c>
      <c r="U50" s="28" t="str">
        <f aca="false">IF(N50="","",IF(AND(N50="수정",P50&lt;&gt;""),P50,K50))</f>
        <v/>
      </c>
      <c r="V50" s="28" t="str">
        <f aca="false">IF(N50="","",IF(N50="수정",IF(Q50&lt;&gt;"",Q50,IF(OR(U50="명시 없음",U50="유보",U50="절 아님"),"",L50)),L50))</f>
        <v/>
      </c>
    </row>
    <row r="51" customFormat="false" ht="15" hidden="false" customHeight="false" outlineLevel="0" collapsed="false">
      <c r="A51" s="24" t="s">
        <v>200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5"/>
      <c r="O51" s="25"/>
      <c r="P51" s="25"/>
      <c r="Q51" s="25"/>
      <c r="R51" s="25"/>
      <c r="S51" s="25"/>
      <c r="T51" s="28" t="str">
        <f aca="false">IF(N51="","",IF(AND(N51="수정",O51&lt;&gt;""),O51,J51))</f>
        <v/>
      </c>
      <c r="U51" s="28" t="str">
        <f aca="false">IF(N51="","",IF(AND(N51="수정",P51&lt;&gt;""),P51,K51))</f>
        <v/>
      </c>
      <c r="V51" s="28" t="str">
        <f aca="false">IF(N51="","",IF(N51="수정",IF(Q51&lt;&gt;"",Q51,IF(OR(U51="명시 없음",U51="유보",U51="절 아님"),"",L51)),L51))</f>
        <v/>
      </c>
    </row>
    <row r="52" customFormat="false" ht="15" hidden="false" customHeight="false" outlineLevel="0" collapsed="false">
      <c r="A52" s="24" t="s">
        <v>200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  <c r="O52" s="25"/>
      <c r="P52" s="25"/>
      <c r="Q52" s="25"/>
      <c r="R52" s="25"/>
      <c r="S52" s="25"/>
      <c r="T52" s="28" t="str">
        <f aca="false">IF(N52="","",IF(AND(N52="수정",O52&lt;&gt;""),O52,J52))</f>
        <v/>
      </c>
      <c r="U52" s="28" t="str">
        <f aca="false">IF(N52="","",IF(AND(N52="수정",P52&lt;&gt;""),P52,K52))</f>
        <v/>
      </c>
      <c r="V52" s="28" t="str">
        <f aca="false">IF(N52="","",IF(N52="수정",IF(Q52&lt;&gt;"",Q52,IF(OR(U52="명시 없음",U52="유보",U52="절 아님"),"",L52)),L52))</f>
        <v/>
      </c>
    </row>
    <row r="53" customFormat="false" ht="15" hidden="false" customHeight="false" outlineLevel="0" collapsed="false">
      <c r="A53" s="24" t="s">
        <v>200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  <c r="O53" s="25"/>
      <c r="P53" s="25"/>
      <c r="Q53" s="25"/>
      <c r="R53" s="25"/>
      <c r="S53" s="25"/>
      <c r="T53" s="28" t="str">
        <f aca="false">IF(N53="","",IF(AND(N53="수정",O53&lt;&gt;""),O53,J53))</f>
        <v/>
      </c>
      <c r="U53" s="28" t="str">
        <f aca="false">IF(N53="","",IF(AND(N53="수정",P53&lt;&gt;""),P53,K53))</f>
        <v/>
      </c>
      <c r="V53" s="28" t="str">
        <f aca="false">IF(N53="","",IF(N53="수정",IF(Q53&lt;&gt;"",Q53,IF(OR(U53="명시 없음",U53="유보",U53="절 아님"),"",L53)),L53))</f>
        <v/>
      </c>
    </row>
    <row r="54" customFormat="false" ht="15" hidden="false" customHeight="false" outlineLevel="0" collapsed="false">
      <c r="A54" s="24" t="s">
        <v>200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  <c r="O54" s="25"/>
      <c r="P54" s="25"/>
      <c r="Q54" s="25"/>
      <c r="R54" s="25"/>
      <c r="S54" s="25"/>
      <c r="T54" s="28" t="str">
        <f aca="false">IF(N54="","",IF(AND(N54="수정",O54&lt;&gt;""),O54,J54))</f>
        <v/>
      </c>
      <c r="U54" s="28" t="str">
        <f aca="false">IF(N54="","",IF(AND(N54="수정",P54&lt;&gt;""),P54,K54))</f>
        <v/>
      </c>
      <c r="V54" s="28" t="str">
        <f aca="false">IF(N54="","",IF(N54="수정",IF(Q54&lt;&gt;"",Q54,IF(OR(U54="명시 없음",U54="유보",U54="절 아님"),"",L54)),L54))</f>
        <v/>
      </c>
    </row>
    <row r="55" customFormat="false" ht="15" hidden="false" customHeight="false" outlineLevel="0" collapsed="false">
      <c r="A55" s="24" t="s">
        <v>200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5"/>
      <c r="O55" s="25"/>
      <c r="P55" s="25"/>
      <c r="Q55" s="25"/>
      <c r="R55" s="25"/>
      <c r="S55" s="25"/>
      <c r="T55" s="28" t="str">
        <f aca="false">IF(N55="","",IF(AND(N55="수정",O55&lt;&gt;""),O55,J55))</f>
        <v/>
      </c>
      <c r="U55" s="28" t="str">
        <f aca="false">IF(N55="","",IF(AND(N55="수정",P55&lt;&gt;""),P55,K55))</f>
        <v/>
      </c>
      <c r="V55" s="28" t="str">
        <f aca="false">IF(N55="","",IF(N55="수정",IF(Q55&lt;&gt;"",Q55,IF(OR(U55="명시 없음",U55="유보",U55="절 아님"),"",L55)),L55))</f>
        <v/>
      </c>
    </row>
    <row r="56" customFormat="false" ht="15" hidden="false" customHeight="false" outlineLevel="0" collapsed="false">
      <c r="A56" s="24" t="s">
        <v>200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5"/>
      <c r="O56" s="25"/>
      <c r="P56" s="25"/>
      <c r="Q56" s="25"/>
      <c r="R56" s="25"/>
      <c r="S56" s="25"/>
      <c r="T56" s="28" t="str">
        <f aca="false">IF(N56="","",IF(AND(N56="수정",O56&lt;&gt;""),O56,J56))</f>
        <v/>
      </c>
      <c r="U56" s="28" t="str">
        <f aca="false">IF(N56="","",IF(AND(N56="수정",P56&lt;&gt;""),P56,K56))</f>
        <v/>
      </c>
      <c r="V56" s="28" t="str">
        <f aca="false">IF(N56="","",IF(N56="수정",IF(Q56&lt;&gt;"",Q56,IF(OR(U56="명시 없음",U56="유보",U56="절 아님"),"",L56)),L56))</f>
        <v/>
      </c>
    </row>
    <row r="57" customFormat="false" ht="15" hidden="false" customHeight="false" outlineLevel="0" collapsed="false">
      <c r="A57" s="24" t="s">
        <v>200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  <c r="O57" s="25"/>
      <c r="P57" s="25"/>
      <c r="Q57" s="25"/>
      <c r="R57" s="25"/>
      <c r="S57" s="25"/>
      <c r="T57" s="28" t="str">
        <f aca="false">IF(N57="","",IF(AND(N57="수정",O57&lt;&gt;""),O57,J57))</f>
        <v/>
      </c>
      <c r="U57" s="28" t="str">
        <f aca="false">IF(N57="","",IF(AND(N57="수정",P57&lt;&gt;""),P57,K57))</f>
        <v/>
      </c>
      <c r="V57" s="28" t="str">
        <f aca="false">IF(N57="","",IF(N57="수정",IF(Q57&lt;&gt;"",Q57,IF(OR(U57="명시 없음",U57="유보",U57="절 아님"),"",L57)),L57))</f>
        <v/>
      </c>
    </row>
    <row r="58" customFormat="false" ht="15" hidden="false" customHeight="false" outlineLevel="0" collapsed="false">
      <c r="A58" s="24" t="s">
        <v>200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5"/>
      <c r="O58" s="25"/>
      <c r="P58" s="25"/>
      <c r="Q58" s="25"/>
      <c r="R58" s="25"/>
      <c r="S58" s="25"/>
      <c r="T58" s="28" t="str">
        <f aca="false">IF(N58="","",IF(AND(N58="수정",O58&lt;&gt;""),O58,J58))</f>
        <v/>
      </c>
      <c r="U58" s="28" t="str">
        <f aca="false">IF(N58="","",IF(AND(N58="수정",P58&lt;&gt;""),P58,K58))</f>
        <v/>
      </c>
      <c r="V58" s="28" t="str">
        <f aca="false">IF(N58="","",IF(N58="수정",IF(Q58&lt;&gt;"",Q58,IF(OR(U58="명시 없음",U58="유보",U58="절 아님"),"",L58)),L58))</f>
        <v/>
      </c>
    </row>
    <row r="59" customFormat="false" ht="15" hidden="false" customHeight="false" outlineLevel="0" collapsed="false">
      <c r="A59" s="24" t="s">
        <v>200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5"/>
      <c r="O59" s="25"/>
      <c r="P59" s="25"/>
      <c r="Q59" s="25"/>
      <c r="R59" s="25"/>
      <c r="S59" s="25"/>
      <c r="T59" s="28" t="str">
        <f aca="false">IF(N59="","",IF(AND(N59="수정",O59&lt;&gt;""),O59,J59))</f>
        <v/>
      </c>
      <c r="U59" s="28" t="str">
        <f aca="false">IF(N59="","",IF(AND(N59="수정",P59&lt;&gt;""),P59,K59))</f>
        <v/>
      </c>
      <c r="V59" s="28" t="str">
        <f aca="false">IF(N59="","",IF(N59="수정",IF(Q59&lt;&gt;"",Q59,IF(OR(U59="명시 없음",U59="유보",U59="절 아님"),"",L59)),L59))</f>
        <v/>
      </c>
    </row>
    <row r="60" customFormat="false" ht="15" hidden="false" customHeight="false" outlineLevel="0" collapsed="false">
      <c r="A60" s="24" t="s">
        <v>200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5"/>
      <c r="O60" s="25"/>
      <c r="P60" s="25"/>
      <c r="Q60" s="25"/>
      <c r="R60" s="25"/>
      <c r="S60" s="25"/>
      <c r="T60" s="28" t="str">
        <f aca="false">IF(N60="","",IF(AND(N60="수정",O60&lt;&gt;""),O60,J60))</f>
        <v/>
      </c>
      <c r="U60" s="28" t="str">
        <f aca="false">IF(N60="","",IF(AND(N60="수정",P60&lt;&gt;""),P60,K60))</f>
        <v/>
      </c>
      <c r="V60" s="28" t="str">
        <f aca="false">IF(N60="","",IF(N60="수정",IF(Q60&lt;&gt;"",Q60,IF(OR(U60="명시 없음",U60="유보",U60="절 아님"),"",L60)),L60))</f>
        <v/>
      </c>
    </row>
    <row r="61" customFormat="false" ht="15" hidden="false" customHeight="false" outlineLevel="0" collapsed="false">
      <c r="A61" s="24" t="s">
        <v>200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5"/>
      <c r="O61" s="25"/>
      <c r="P61" s="25"/>
      <c r="Q61" s="25"/>
      <c r="R61" s="25"/>
      <c r="S61" s="25"/>
      <c r="T61" s="28" t="str">
        <f aca="false">IF(N61="","",IF(AND(N61="수정",O61&lt;&gt;""),O61,J61))</f>
        <v/>
      </c>
      <c r="U61" s="28" t="str">
        <f aca="false">IF(N61="","",IF(AND(N61="수정",P61&lt;&gt;""),P61,K61))</f>
        <v/>
      </c>
      <c r="V61" s="28" t="str">
        <f aca="false">IF(N61="","",IF(N61="수정",IF(Q61&lt;&gt;"",Q61,IF(OR(U61="명시 없음",U61="유보",U61="절 아님"),"",L61)),L61))</f>
        <v/>
      </c>
    </row>
    <row r="62" customFormat="false" ht="15" hidden="false" customHeight="false" outlineLevel="0" collapsed="false">
      <c r="A62" s="24" t="s">
        <v>200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5"/>
      <c r="O62" s="25"/>
      <c r="P62" s="25"/>
      <c r="Q62" s="25"/>
      <c r="R62" s="25"/>
      <c r="S62" s="25"/>
      <c r="T62" s="28" t="str">
        <f aca="false">IF(N62="","",IF(AND(N62="수정",O62&lt;&gt;""),O62,J62))</f>
        <v/>
      </c>
      <c r="U62" s="28" t="str">
        <f aca="false">IF(N62="","",IF(AND(N62="수정",P62&lt;&gt;""),P62,K62))</f>
        <v/>
      </c>
      <c r="V62" s="28" t="str">
        <f aca="false">IF(N62="","",IF(N62="수정",IF(Q62&lt;&gt;"",Q62,IF(OR(U62="명시 없음",U62="유보",U62="절 아님"),"",L62)),L62))</f>
        <v/>
      </c>
    </row>
    <row r="63" customFormat="false" ht="15" hidden="false" customHeight="false" outlineLevel="0" collapsed="false">
      <c r="A63" s="24" t="s">
        <v>200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5"/>
      <c r="O63" s="25"/>
      <c r="P63" s="25"/>
      <c r="Q63" s="25"/>
      <c r="R63" s="25"/>
      <c r="S63" s="25"/>
      <c r="T63" s="28" t="str">
        <f aca="false">IF(N63="","",IF(AND(N63="수정",O63&lt;&gt;""),O63,J63))</f>
        <v/>
      </c>
      <c r="U63" s="28" t="str">
        <f aca="false">IF(N63="","",IF(AND(N63="수정",P63&lt;&gt;""),P63,K63))</f>
        <v/>
      </c>
      <c r="V63" s="28" t="str">
        <f aca="false">IF(N63="","",IF(N63="수정",IF(Q63&lt;&gt;"",Q63,IF(OR(U63="명시 없음",U63="유보",U63="절 아님"),"",L63)),L63))</f>
        <v/>
      </c>
    </row>
    <row r="64" customFormat="false" ht="15" hidden="false" customHeight="false" outlineLevel="0" collapsed="false">
      <c r="A64" s="24" t="s">
        <v>200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  <c r="O64" s="25"/>
      <c r="P64" s="25"/>
      <c r="Q64" s="25"/>
      <c r="R64" s="25"/>
      <c r="S64" s="25"/>
      <c r="T64" s="28" t="str">
        <f aca="false">IF(N64="","",IF(AND(N64="수정",O64&lt;&gt;""),O64,J64))</f>
        <v/>
      </c>
      <c r="U64" s="28" t="str">
        <f aca="false">IF(N64="","",IF(AND(N64="수정",P64&lt;&gt;""),P64,K64))</f>
        <v/>
      </c>
      <c r="V64" s="28" t="str">
        <f aca="false">IF(N64="","",IF(N64="수정",IF(Q64&lt;&gt;"",Q64,IF(OR(U64="명시 없음",U64="유보",U64="절 아님"),"",L64)),L64))</f>
        <v/>
      </c>
    </row>
    <row r="65" customFormat="false" ht="15" hidden="false" customHeight="false" outlineLevel="0" collapsed="false">
      <c r="A65" s="24" t="s">
        <v>200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5"/>
      <c r="Q65" s="25"/>
      <c r="R65" s="25"/>
      <c r="S65" s="25"/>
      <c r="T65" s="28" t="str">
        <f aca="false">IF(N65="","",IF(AND(N65="수정",O65&lt;&gt;""),O65,J65))</f>
        <v/>
      </c>
      <c r="U65" s="28" t="str">
        <f aca="false">IF(N65="","",IF(AND(N65="수정",P65&lt;&gt;""),P65,K65))</f>
        <v/>
      </c>
      <c r="V65" s="28" t="str">
        <f aca="false">IF(N65="","",IF(N65="수정",IF(Q65&lt;&gt;"",Q65,IF(OR(U65="명시 없음",U65="유보",U65="절 아님"),"",L65)),L65))</f>
        <v/>
      </c>
    </row>
    <row r="66" customFormat="false" ht="15" hidden="false" customHeight="false" outlineLevel="0" collapsed="false">
      <c r="A66" s="24" t="s">
        <v>200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  <c r="O66" s="25"/>
      <c r="P66" s="25"/>
      <c r="Q66" s="25"/>
      <c r="R66" s="25"/>
      <c r="S66" s="25"/>
      <c r="T66" s="28" t="str">
        <f aca="false">IF(N66="","",IF(AND(N66="수정",O66&lt;&gt;""),O66,J66))</f>
        <v/>
      </c>
      <c r="U66" s="28" t="str">
        <f aca="false">IF(N66="","",IF(AND(N66="수정",P66&lt;&gt;""),P66,K66))</f>
        <v/>
      </c>
      <c r="V66" s="28" t="str">
        <f aca="false">IF(N66="","",IF(N66="수정",IF(Q66&lt;&gt;"",Q66,IF(OR(U66="명시 없음",U66="유보",U66="절 아님"),"",L66)),L66))</f>
        <v/>
      </c>
    </row>
    <row r="67" customFormat="false" ht="15" hidden="false" customHeight="false" outlineLevel="0" collapsed="false">
      <c r="A67" s="24" t="s">
        <v>200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5"/>
      <c r="O67" s="25"/>
      <c r="P67" s="25"/>
      <c r="Q67" s="25"/>
      <c r="R67" s="25"/>
      <c r="S67" s="25"/>
      <c r="T67" s="28" t="str">
        <f aca="false">IF(N67="","",IF(AND(N67="수정",O67&lt;&gt;""),O67,J67))</f>
        <v/>
      </c>
      <c r="U67" s="28" t="str">
        <f aca="false">IF(N67="","",IF(AND(N67="수정",P67&lt;&gt;""),P67,K67))</f>
        <v/>
      </c>
      <c r="V67" s="28" t="str">
        <f aca="false">IF(N67="","",IF(N67="수정",IF(Q67&lt;&gt;"",Q67,IF(OR(U67="명시 없음",U67="유보",U67="절 아님"),"",L67)),L67))</f>
        <v/>
      </c>
    </row>
    <row r="68" customFormat="false" ht="15" hidden="false" customHeight="false" outlineLevel="0" collapsed="false">
      <c r="A68" s="24" t="s">
        <v>200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  <c r="O68" s="25"/>
      <c r="P68" s="25"/>
      <c r="Q68" s="25"/>
      <c r="R68" s="25"/>
      <c r="S68" s="25"/>
      <c r="T68" s="28" t="str">
        <f aca="false">IF(N68="","",IF(AND(N68="수정",O68&lt;&gt;""),O68,J68))</f>
        <v/>
      </c>
      <c r="U68" s="28" t="str">
        <f aca="false">IF(N68="","",IF(AND(N68="수정",P68&lt;&gt;""),P68,K68))</f>
        <v/>
      </c>
      <c r="V68" s="28" t="str">
        <f aca="false">IF(N68="","",IF(N68="수정",IF(Q68&lt;&gt;"",Q68,IF(OR(U68="명시 없음",U68="유보",U68="절 아님"),"",L68)),L68))</f>
        <v/>
      </c>
    </row>
    <row r="69" customFormat="false" ht="15" hidden="false" customHeight="false" outlineLevel="0" collapsed="false">
      <c r="A69" s="24" t="s">
        <v>200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  <c r="O69" s="25"/>
      <c r="P69" s="25"/>
      <c r="Q69" s="25"/>
      <c r="R69" s="25"/>
      <c r="S69" s="25"/>
      <c r="T69" s="28" t="str">
        <f aca="false">IF(N69="","",IF(AND(N69="수정",O69&lt;&gt;""),O69,J69))</f>
        <v/>
      </c>
      <c r="U69" s="28" t="str">
        <f aca="false">IF(N69="","",IF(AND(N69="수정",P69&lt;&gt;""),P69,K69))</f>
        <v/>
      </c>
      <c r="V69" s="28" t="str">
        <f aca="false">IF(N69="","",IF(N69="수정",IF(Q69&lt;&gt;"",Q69,IF(OR(U69="명시 없음",U69="유보",U69="절 아님"),"",L69)),L69))</f>
        <v/>
      </c>
    </row>
    <row r="70" customFormat="false" ht="15" hidden="false" customHeight="false" outlineLevel="0" collapsed="false">
      <c r="A70" s="24" t="s">
        <v>200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  <c r="O70" s="25"/>
      <c r="P70" s="25"/>
      <c r="Q70" s="25"/>
      <c r="R70" s="25"/>
      <c r="S70" s="25"/>
      <c r="T70" s="28" t="str">
        <f aca="false">IF(N70="","",IF(AND(N70="수정",O70&lt;&gt;""),O70,J70))</f>
        <v/>
      </c>
      <c r="U70" s="28" t="str">
        <f aca="false">IF(N70="","",IF(AND(N70="수정",P70&lt;&gt;""),P70,K70))</f>
        <v/>
      </c>
      <c r="V70" s="28" t="str">
        <f aca="false">IF(N70="","",IF(N70="수정",IF(Q70&lt;&gt;"",Q70,IF(OR(U70="명시 없음",U70="유보",U70="절 아님"),"",L70)),L70))</f>
        <v/>
      </c>
    </row>
    <row r="71" customFormat="false" ht="15" hidden="false" customHeight="false" outlineLevel="0" collapsed="false">
      <c r="A71" s="24" t="s">
        <v>200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5"/>
      <c r="O71" s="25"/>
      <c r="P71" s="25"/>
      <c r="Q71" s="25"/>
      <c r="R71" s="25"/>
      <c r="S71" s="25"/>
      <c r="T71" s="28" t="str">
        <f aca="false">IF(N71="","",IF(AND(N71="수정",O71&lt;&gt;""),O71,J71))</f>
        <v/>
      </c>
      <c r="U71" s="28" t="str">
        <f aca="false">IF(N71="","",IF(AND(N71="수정",P71&lt;&gt;""),P71,K71))</f>
        <v/>
      </c>
      <c r="V71" s="28" t="str">
        <f aca="false">IF(N71="","",IF(N71="수정",IF(Q71&lt;&gt;"",Q71,IF(OR(U71="명시 없음",U71="유보",U71="절 아님"),"",L71)),L71))</f>
        <v/>
      </c>
    </row>
    <row r="72" customFormat="false" ht="15" hidden="false" customHeight="false" outlineLevel="0" collapsed="false">
      <c r="A72" s="24" t="s">
        <v>200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5"/>
      <c r="O72" s="25"/>
      <c r="P72" s="25"/>
      <c r="Q72" s="25"/>
      <c r="R72" s="25"/>
      <c r="S72" s="25"/>
      <c r="T72" s="28" t="str">
        <f aca="false">IF(N72="","",IF(AND(N72="수정",O72&lt;&gt;""),O72,J72))</f>
        <v/>
      </c>
      <c r="U72" s="28" t="str">
        <f aca="false">IF(N72="","",IF(AND(N72="수정",P72&lt;&gt;""),P72,K72))</f>
        <v/>
      </c>
      <c r="V72" s="28" t="str">
        <f aca="false">IF(N72="","",IF(N72="수정",IF(Q72&lt;&gt;"",Q72,IF(OR(U72="명시 없음",U72="유보",U72="절 아님"),"",L72)),L72))</f>
        <v/>
      </c>
    </row>
    <row r="73" customFormat="false" ht="15" hidden="false" customHeight="false" outlineLevel="0" collapsed="false">
      <c r="A73" s="24" t="s">
        <v>200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5"/>
      <c r="O73" s="25"/>
      <c r="P73" s="25"/>
      <c r="Q73" s="25"/>
      <c r="R73" s="25"/>
      <c r="S73" s="25"/>
      <c r="T73" s="28" t="str">
        <f aca="false">IF(N73="","",IF(AND(N73="수정",O73&lt;&gt;""),O73,J73))</f>
        <v/>
      </c>
      <c r="U73" s="28" t="str">
        <f aca="false">IF(N73="","",IF(AND(N73="수정",P73&lt;&gt;""),P73,K73))</f>
        <v/>
      </c>
      <c r="V73" s="28" t="str">
        <f aca="false">IF(N73="","",IF(N73="수정",IF(Q73&lt;&gt;"",Q73,IF(OR(U73="명시 없음",U73="유보",U73="절 아님"),"",L73)),L73))</f>
        <v/>
      </c>
    </row>
    <row r="74" customFormat="false" ht="15" hidden="false" customHeight="false" outlineLevel="0" collapsed="false">
      <c r="A74" s="24" t="s">
        <v>200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/>
      <c r="O74" s="25"/>
      <c r="P74" s="25"/>
      <c r="Q74" s="25"/>
      <c r="R74" s="25"/>
      <c r="S74" s="25"/>
      <c r="T74" s="28" t="str">
        <f aca="false">IF(N74="","",IF(AND(N74="수정",O74&lt;&gt;""),O74,J74))</f>
        <v/>
      </c>
      <c r="U74" s="28" t="str">
        <f aca="false">IF(N74="","",IF(AND(N74="수정",P74&lt;&gt;""),P74,K74))</f>
        <v/>
      </c>
      <c r="V74" s="28" t="str">
        <f aca="false">IF(N74="","",IF(N74="수정",IF(Q74&lt;&gt;"",Q74,IF(OR(U74="명시 없음",U74="유보",U74="절 아님"),"",L74)),L74))</f>
        <v/>
      </c>
    </row>
    <row r="75" customFormat="false" ht="15" hidden="false" customHeight="false" outlineLevel="0" collapsed="false">
      <c r="A75" s="24" t="s">
        <v>200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5"/>
      <c r="O75" s="25"/>
      <c r="P75" s="25"/>
      <c r="Q75" s="25"/>
      <c r="R75" s="25"/>
      <c r="S75" s="25"/>
      <c r="T75" s="28" t="str">
        <f aca="false">IF(N75="","",IF(AND(N75="수정",O75&lt;&gt;""),O75,J75))</f>
        <v/>
      </c>
      <c r="U75" s="28" t="str">
        <f aca="false">IF(N75="","",IF(AND(N75="수정",P75&lt;&gt;""),P75,K75))</f>
        <v/>
      </c>
      <c r="V75" s="28" t="str">
        <f aca="false">IF(N75="","",IF(N75="수정",IF(Q75&lt;&gt;"",Q75,IF(OR(U75="명시 없음",U75="유보",U75="절 아님"),"",L75)),L75))</f>
        <v/>
      </c>
    </row>
    <row r="76" customFormat="false" ht="15" hidden="false" customHeight="false" outlineLevel="0" collapsed="false">
      <c r="A76" s="24" t="s">
        <v>200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5"/>
      <c r="O76" s="25"/>
      <c r="P76" s="25"/>
      <c r="Q76" s="25"/>
      <c r="R76" s="25"/>
      <c r="S76" s="25"/>
      <c r="T76" s="28" t="str">
        <f aca="false">IF(N76="","",IF(AND(N76="수정",O76&lt;&gt;""),O76,J76))</f>
        <v/>
      </c>
      <c r="U76" s="28" t="str">
        <f aca="false">IF(N76="","",IF(AND(N76="수정",P76&lt;&gt;""),P76,K76))</f>
        <v/>
      </c>
      <c r="V76" s="28" t="str">
        <f aca="false">IF(N76="","",IF(N76="수정",IF(Q76&lt;&gt;"",Q76,IF(OR(U76="명시 없음",U76="유보",U76="절 아님"),"",L76)),L76))</f>
        <v/>
      </c>
    </row>
    <row r="77" customFormat="false" ht="15" hidden="false" customHeight="false" outlineLevel="0" collapsed="false">
      <c r="A77" s="24" t="s">
        <v>200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5"/>
      <c r="O77" s="25"/>
      <c r="P77" s="25"/>
      <c r="Q77" s="25"/>
      <c r="R77" s="25"/>
      <c r="S77" s="25"/>
      <c r="T77" s="28" t="str">
        <f aca="false">IF(N77="","",IF(AND(N77="수정",O77&lt;&gt;""),O77,J77))</f>
        <v/>
      </c>
      <c r="U77" s="28" t="str">
        <f aca="false">IF(N77="","",IF(AND(N77="수정",P77&lt;&gt;""),P77,K77))</f>
        <v/>
      </c>
      <c r="V77" s="28" t="str">
        <f aca="false">IF(N77="","",IF(N77="수정",IF(Q77&lt;&gt;"",Q77,IF(OR(U77="명시 없음",U77="유보",U77="절 아님"),"",L77)),L77))</f>
        <v/>
      </c>
    </row>
    <row r="78" customFormat="false" ht="15" hidden="false" customHeight="false" outlineLevel="0" collapsed="false">
      <c r="A78" s="24" t="s">
        <v>200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5"/>
      <c r="O78" s="25"/>
      <c r="P78" s="25"/>
      <c r="Q78" s="25"/>
      <c r="R78" s="25"/>
      <c r="S78" s="25"/>
      <c r="T78" s="28" t="str">
        <f aca="false">IF(N78="","",IF(AND(N78="수정",O78&lt;&gt;""),O78,J78))</f>
        <v/>
      </c>
      <c r="U78" s="28" t="str">
        <f aca="false">IF(N78="","",IF(AND(N78="수정",P78&lt;&gt;""),P78,K78))</f>
        <v/>
      </c>
      <c r="V78" s="28" t="str">
        <f aca="false">IF(N78="","",IF(N78="수정",IF(Q78&lt;&gt;"",Q78,IF(OR(U78="명시 없음",U78="유보",U78="절 아님"),"",L78)),L78))</f>
        <v/>
      </c>
    </row>
    <row r="79" customFormat="false" ht="15" hidden="false" customHeight="false" outlineLevel="0" collapsed="false">
      <c r="A79" s="24" t="s">
        <v>200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5"/>
      <c r="O79" s="25"/>
      <c r="P79" s="25"/>
      <c r="Q79" s="25"/>
      <c r="R79" s="25"/>
      <c r="S79" s="25"/>
      <c r="T79" s="28" t="str">
        <f aca="false">IF(N79="","",IF(AND(N79="수정",O79&lt;&gt;""),O79,J79))</f>
        <v/>
      </c>
      <c r="U79" s="28" t="str">
        <f aca="false">IF(N79="","",IF(AND(N79="수정",P79&lt;&gt;""),P79,K79))</f>
        <v/>
      </c>
      <c r="V79" s="28" t="str">
        <f aca="false">IF(N79="","",IF(N79="수정",IF(Q79&lt;&gt;"",Q79,IF(OR(U79="명시 없음",U79="유보",U79="절 아님"),"",L79)),L79))</f>
        <v/>
      </c>
    </row>
    <row r="80" customFormat="false" ht="15" hidden="false" customHeight="false" outlineLevel="0" collapsed="false">
      <c r="A80" s="24" t="s">
        <v>200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5"/>
      <c r="O80" s="25"/>
      <c r="P80" s="25"/>
      <c r="Q80" s="25"/>
      <c r="R80" s="25"/>
      <c r="S80" s="25"/>
      <c r="T80" s="28" t="str">
        <f aca="false">IF(N80="","",IF(AND(N80="수정",O80&lt;&gt;""),O80,J80))</f>
        <v/>
      </c>
      <c r="U80" s="28" t="str">
        <f aca="false">IF(N80="","",IF(AND(N80="수정",P80&lt;&gt;""),P80,K80))</f>
        <v/>
      </c>
      <c r="V80" s="28" t="str">
        <f aca="false">IF(N80="","",IF(N80="수정",IF(Q80&lt;&gt;"",Q80,IF(OR(U80="명시 없음",U80="유보",U80="절 아님"),"",L80)),L80))</f>
        <v/>
      </c>
    </row>
    <row r="81" customFormat="false" ht="15" hidden="false" customHeight="false" outlineLevel="0" collapsed="false">
      <c r="A81" s="24" t="s">
        <v>200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5"/>
      <c r="O81" s="25"/>
      <c r="P81" s="25"/>
      <c r="Q81" s="25"/>
      <c r="R81" s="25"/>
      <c r="S81" s="25"/>
      <c r="T81" s="28" t="str">
        <f aca="false">IF(N81="","",IF(AND(N81="수정",O81&lt;&gt;""),O81,J81))</f>
        <v/>
      </c>
      <c r="U81" s="28" t="str">
        <f aca="false">IF(N81="","",IF(AND(N81="수정",P81&lt;&gt;""),P81,K81))</f>
        <v/>
      </c>
      <c r="V81" s="28" t="str">
        <f aca="false">IF(N81="","",IF(N81="수정",IF(Q81&lt;&gt;"",Q81,IF(OR(U81="명시 없음",U81="유보",U81="절 아님"),"",L81)),L81))</f>
        <v/>
      </c>
    </row>
    <row r="82" customFormat="false" ht="15" hidden="false" customHeight="false" outlineLevel="0" collapsed="false">
      <c r="A82" s="24" t="s">
        <v>200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5"/>
      <c r="O82" s="25"/>
      <c r="P82" s="25"/>
      <c r="Q82" s="25"/>
      <c r="R82" s="25"/>
      <c r="S82" s="25"/>
      <c r="T82" s="28" t="str">
        <f aca="false">IF(N82="","",IF(AND(N82="수정",O82&lt;&gt;""),O82,J82))</f>
        <v/>
      </c>
      <c r="U82" s="28" t="str">
        <f aca="false">IF(N82="","",IF(AND(N82="수정",P82&lt;&gt;""),P82,K82))</f>
        <v/>
      </c>
      <c r="V82" s="28" t="str">
        <f aca="false">IF(N82="","",IF(N82="수정",IF(Q82&lt;&gt;"",Q82,IF(OR(U82="명시 없음",U82="유보",U82="절 아님"),"",L82)),L82))</f>
        <v/>
      </c>
    </row>
    <row r="83" customFormat="false" ht="15" hidden="false" customHeight="false" outlineLevel="0" collapsed="false">
      <c r="A83" s="24" t="s">
        <v>200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5"/>
      <c r="O83" s="25"/>
      <c r="P83" s="25"/>
      <c r="Q83" s="25"/>
      <c r="R83" s="25"/>
      <c r="S83" s="25"/>
      <c r="T83" s="28" t="str">
        <f aca="false">IF(N83="","",IF(AND(N83="수정",O83&lt;&gt;""),O83,J83))</f>
        <v/>
      </c>
      <c r="U83" s="28" t="str">
        <f aca="false">IF(N83="","",IF(AND(N83="수정",P83&lt;&gt;""),P83,K83))</f>
        <v/>
      </c>
      <c r="V83" s="28" t="str">
        <f aca="false">IF(N83="","",IF(N83="수정",IF(Q83&lt;&gt;"",Q83,IF(OR(U83="명시 없음",U83="유보",U83="절 아님"),"",L83)),L83))</f>
        <v/>
      </c>
    </row>
    <row r="84" customFormat="false" ht="15" hidden="false" customHeight="false" outlineLevel="0" collapsed="false">
      <c r="A84" s="24" t="s">
        <v>200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5"/>
      <c r="O84" s="25"/>
      <c r="P84" s="25"/>
      <c r="Q84" s="25"/>
      <c r="R84" s="25"/>
      <c r="S84" s="25"/>
      <c r="T84" s="28" t="str">
        <f aca="false">IF(N84="","",IF(AND(N84="수정",O84&lt;&gt;""),O84,J84))</f>
        <v/>
      </c>
      <c r="U84" s="28" t="str">
        <f aca="false">IF(N84="","",IF(AND(N84="수정",P84&lt;&gt;""),P84,K84))</f>
        <v/>
      </c>
      <c r="V84" s="28" t="str">
        <f aca="false">IF(N84="","",IF(N84="수정",IF(Q84&lt;&gt;"",Q84,IF(OR(U84="명시 없음",U84="유보",U84="절 아님"),"",L84)),L84))</f>
        <v/>
      </c>
    </row>
    <row r="85" customFormat="false" ht="15" hidden="false" customHeight="false" outlineLevel="0" collapsed="false">
      <c r="A85" s="24" t="s">
        <v>200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5"/>
      <c r="O85" s="25"/>
      <c r="P85" s="25"/>
      <c r="Q85" s="25"/>
      <c r="R85" s="25"/>
      <c r="S85" s="25"/>
      <c r="T85" s="28" t="str">
        <f aca="false">IF(N85="","",IF(AND(N85="수정",O85&lt;&gt;""),O85,J85))</f>
        <v/>
      </c>
      <c r="U85" s="28" t="str">
        <f aca="false">IF(N85="","",IF(AND(N85="수정",P85&lt;&gt;""),P85,K85))</f>
        <v/>
      </c>
      <c r="V85" s="28" t="str">
        <f aca="false">IF(N85="","",IF(N85="수정",IF(Q85&lt;&gt;"",Q85,IF(OR(U85="명시 없음",U85="유보",U85="절 아님"),"",L85)),L85))</f>
        <v/>
      </c>
    </row>
    <row r="86" customFormat="false" ht="15" hidden="false" customHeight="false" outlineLevel="0" collapsed="false">
      <c r="A86" s="24" t="s">
        <v>200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5"/>
      <c r="O86" s="25"/>
      <c r="P86" s="25"/>
      <c r="Q86" s="25"/>
      <c r="R86" s="25"/>
      <c r="S86" s="25"/>
      <c r="T86" s="28" t="str">
        <f aca="false">IF(N86="","",IF(AND(N86="수정",O86&lt;&gt;""),O86,J86))</f>
        <v/>
      </c>
      <c r="U86" s="28" t="str">
        <f aca="false">IF(N86="","",IF(AND(N86="수정",P86&lt;&gt;""),P86,K86))</f>
        <v/>
      </c>
      <c r="V86" s="28" t="str">
        <f aca="false">IF(N86="","",IF(N86="수정",IF(Q86&lt;&gt;"",Q86,IF(OR(U86="명시 없음",U86="유보",U86="절 아님"),"",L86)),L86))</f>
        <v/>
      </c>
    </row>
    <row r="87" customFormat="false" ht="15" hidden="false" customHeight="false" outlineLevel="0" collapsed="false">
      <c r="A87" s="24" t="s">
        <v>200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5"/>
      <c r="O87" s="25"/>
      <c r="P87" s="25"/>
      <c r="Q87" s="25"/>
      <c r="R87" s="25"/>
      <c r="S87" s="25"/>
      <c r="T87" s="28" t="str">
        <f aca="false">IF(N87="","",IF(AND(N87="수정",O87&lt;&gt;""),O87,J87))</f>
        <v/>
      </c>
      <c r="U87" s="28" t="str">
        <f aca="false">IF(N87="","",IF(AND(N87="수정",P87&lt;&gt;""),P87,K87))</f>
        <v/>
      </c>
      <c r="V87" s="28" t="str">
        <f aca="false">IF(N87="","",IF(N87="수정",IF(Q87&lt;&gt;"",Q87,IF(OR(U87="명시 없음",U87="유보",U87="절 아님"),"",L87)),L87))</f>
        <v/>
      </c>
    </row>
    <row r="88" customFormat="false" ht="15" hidden="false" customHeight="false" outlineLevel="0" collapsed="false">
      <c r="A88" s="24" t="s">
        <v>200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5"/>
      <c r="O88" s="25"/>
      <c r="P88" s="25"/>
      <c r="Q88" s="25"/>
      <c r="R88" s="25"/>
      <c r="S88" s="25"/>
      <c r="T88" s="28" t="str">
        <f aca="false">IF(N88="","",IF(AND(N88="수정",O88&lt;&gt;""),O88,J88))</f>
        <v/>
      </c>
      <c r="U88" s="28" t="str">
        <f aca="false">IF(N88="","",IF(AND(N88="수정",P88&lt;&gt;""),P88,K88))</f>
        <v/>
      </c>
      <c r="V88" s="28" t="str">
        <f aca="false">IF(N88="","",IF(N88="수정",IF(Q88&lt;&gt;"",Q88,IF(OR(U88="명시 없음",U88="유보",U88="절 아님"),"",L88)),L88))</f>
        <v/>
      </c>
    </row>
    <row r="89" customFormat="false" ht="15" hidden="false" customHeight="false" outlineLevel="0" collapsed="false">
      <c r="A89" s="24" t="s">
        <v>200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5"/>
      <c r="O89" s="25"/>
      <c r="P89" s="25"/>
      <c r="Q89" s="25"/>
      <c r="R89" s="25"/>
      <c r="S89" s="25"/>
      <c r="T89" s="28" t="str">
        <f aca="false">IF(N89="","",IF(AND(N89="수정",O89&lt;&gt;""),O89,J89))</f>
        <v/>
      </c>
      <c r="U89" s="28" t="str">
        <f aca="false">IF(N89="","",IF(AND(N89="수정",P89&lt;&gt;""),P89,K89))</f>
        <v/>
      </c>
      <c r="V89" s="28" t="str">
        <f aca="false">IF(N89="","",IF(N89="수정",IF(Q89&lt;&gt;"",Q89,IF(OR(U89="명시 없음",U89="유보",U89="절 아님"),"",L89)),L89))</f>
        <v/>
      </c>
    </row>
    <row r="90" customFormat="false" ht="15" hidden="false" customHeight="false" outlineLevel="0" collapsed="false">
      <c r="A90" s="24" t="s">
        <v>200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5"/>
      <c r="O90" s="25"/>
      <c r="P90" s="25"/>
      <c r="Q90" s="25"/>
      <c r="R90" s="25"/>
      <c r="S90" s="25"/>
      <c r="T90" s="28" t="str">
        <f aca="false">IF(N90="","",IF(AND(N90="수정",O90&lt;&gt;""),O90,J90))</f>
        <v/>
      </c>
      <c r="U90" s="28" t="str">
        <f aca="false">IF(N90="","",IF(AND(N90="수정",P90&lt;&gt;""),P90,K90))</f>
        <v/>
      </c>
      <c r="V90" s="28" t="str">
        <f aca="false">IF(N90="","",IF(N90="수정",IF(Q90&lt;&gt;"",Q90,IF(OR(U90="명시 없음",U90="유보",U90="절 아님"),"",L90)),L90))</f>
        <v/>
      </c>
    </row>
    <row r="91" customFormat="false" ht="15" hidden="false" customHeight="false" outlineLevel="0" collapsed="false">
      <c r="A91" s="24" t="s">
        <v>200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5"/>
      <c r="O91" s="25"/>
      <c r="P91" s="25"/>
      <c r="Q91" s="25"/>
      <c r="R91" s="25"/>
      <c r="S91" s="25"/>
      <c r="T91" s="28" t="str">
        <f aca="false">IF(N91="","",IF(AND(N91="수정",O91&lt;&gt;""),O91,J91))</f>
        <v/>
      </c>
      <c r="U91" s="28" t="str">
        <f aca="false">IF(N91="","",IF(AND(N91="수정",P91&lt;&gt;""),P91,K91))</f>
        <v/>
      </c>
      <c r="V91" s="28" t="str">
        <f aca="false">IF(N91="","",IF(N91="수정",IF(Q91&lt;&gt;"",Q91,IF(OR(U91="명시 없음",U91="유보",U91="절 아님"),"",L91)),L91))</f>
        <v/>
      </c>
    </row>
    <row r="92" customFormat="false" ht="15" hidden="false" customHeight="false" outlineLevel="0" collapsed="false">
      <c r="A92" s="24" t="s">
        <v>200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  <c r="O92" s="25"/>
      <c r="P92" s="25"/>
      <c r="Q92" s="25"/>
      <c r="R92" s="25"/>
      <c r="S92" s="25"/>
      <c r="T92" s="28" t="str">
        <f aca="false">IF(N92="","",IF(AND(N92="수정",O92&lt;&gt;""),O92,J92))</f>
        <v/>
      </c>
      <c r="U92" s="28" t="str">
        <f aca="false">IF(N92="","",IF(AND(N92="수정",P92&lt;&gt;""),P92,K92))</f>
        <v/>
      </c>
      <c r="V92" s="28" t="str">
        <f aca="false">IF(N92="","",IF(N92="수정",IF(Q92&lt;&gt;"",Q92,IF(OR(U92="명시 없음",U92="유보",U92="절 아님"),"",L92)),L92))</f>
        <v/>
      </c>
    </row>
    <row r="93" customFormat="false" ht="15" hidden="false" customHeight="false" outlineLevel="0" collapsed="false">
      <c r="A93" s="24" t="s">
        <v>200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5"/>
      <c r="O93" s="25"/>
      <c r="P93" s="25"/>
      <c r="Q93" s="25"/>
      <c r="R93" s="25"/>
      <c r="S93" s="25"/>
      <c r="T93" s="28" t="str">
        <f aca="false">IF(N93="","",IF(AND(N93="수정",O93&lt;&gt;""),O93,J93))</f>
        <v/>
      </c>
      <c r="U93" s="28" t="str">
        <f aca="false">IF(N93="","",IF(AND(N93="수정",P93&lt;&gt;""),P93,K93))</f>
        <v/>
      </c>
      <c r="V93" s="28" t="str">
        <f aca="false">IF(N93="","",IF(N93="수정",IF(Q93&lt;&gt;"",Q93,IF(OR(U93="명시 없음",U93="유보",U93="절 아님"),"",L93)),L93))</f>
        <v/>
      </c>
    </row>
    <row r="94" customFormat="false" ht="15" hidden="false" customHeight="false" outlineLevel="0" collapsed="false">
      <c r="A94" s="24" t="s">
        <v>200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5"/>
      <c r="O94" s="25"/>
      <c r="P94" s="25"/>
      <c r="Q94" s="25"/>
      <c r="R94" s="25"/>
      <c r="S94" s="25"/>
      <c r="T94" s="28" t="str">
        <f aca="false">IF(N94="","",IF(AND(N94="수정",O94&lt;&gt;""),O94,J94))</f>
        <v/>
      </c>
      <c r="U94" s="28" t="str">
        <f aca="false">IF(N94="","",IF(AND(N94="수정",P94&lt;&gt;""),P94,K94))</f>
        <v/>
      </c>
      <c r="V94" s="28" t="str">
        <f aca="false">IF(N94="","",IF(N94="수정",IF(Q94&lt;&gt;"",Q94,IF(OR(U94="명시 없음",U94="유보",U94="절 아님"),"",L94)),L94))</f>
        <v/>
      </c>
    </row>
    <row r="95" customFormat="false" ht="15" hidden="false" customHeight="false" outlineLevel="0" collapsed="false">
      <c r="A95" s="24" t="s">
        <v>200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5"/>
      <c r="O95" s="25"/>
      <c r="P95" s="25"/>
      <c r="Q95" s="25"/>
      <c r="R95" s="25"/>
      <c r="S95" s="25"/>
      <c r="T95" s="28" t="str">
        <f aca="false">IF(N95="","",IF(AND(N95="수정",O95&lt;&gt;""),O95,J95))</f>
        <v/>
      </c>
      <c r="U95" s="28" t="str">
        <f aca="false">IF(N95="","",IF(AND(N95="수정",P95&lt;&gt;""),P95,K95))</f>
        <v/>
      </c>
      <c r="V95" s="28" t="str">
        <f aca="false">IF(N95="","",IF(N95="수정",IF(Q95&lt;&gt;"",Q95,IF(OR(U95="명시 없음",U95="유보",U95="절 아님"),"",L95)),L95))</f>
        <v/>
      </c>
    </row>
    <row r="96" customFormat="false" ht="15" hidden="false" customHeight="false" outlineLevel="0" collapsed="false">
      <c r="A96" s="24" t="s">
        <v>200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5"/>
      <c r="O96" s="25"/>
      <c r="P96" s="25"/>
      <c r="Q96" s="25"/>
      <c r="R96" s="25"/>
      <c r="S96" s="25"/>
      <c r="T96" s="28" t="str">
        <f aca="false">IF(N96="","",IF(AND(N96="수정",O96&lt;&gt;""),O96,J96))</f>
        <v/>
      </c>
      <c r="U96" s="28" t="str">
        <f aca="false">IF(N96="","",IF(AND(N96="수정",P96&lt;&gt;""),P96,K96))</f>
        <v/>
      </c>
      <c r="V96" s="28" t="str">
        <f aca="false">IF(N96="","",IF(N96="수정",IF(Q96&lt;&gt;"",Q96,IF(OR(U96="명시 없음",U96="유보",U96="절 아님"),"",L96)),L96))</f>
        <v/>
      </c>
    </row>
    <row r="97" customFormat="false" ht="15" hidden="false" customHeight="false" outlineLevel="0" collapsed="false">
      <c r="A97" s="24" t="s">
        <v>200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5"/>
      <c r="O97" s="25"/>
      <c r="P97" s="25"/>
      <c r="Q97" s="25"/>
      <c r="R97" s="25"/>
      <c r="S97" s="25"/>
      <c r="T97" s="28" t="str">
        <f aca="false">IF(N97="","",IF(AND(N97="수정",O97&lt;&gt;""),O97,J97))</f>
        <v/>
      </c>
      <c r="U97" s="28" t="str">
        <f aca="false">IF(N97="","",IF(AND(N97="수정",P97&lt;&gt;""),P97,K97))</f>
        <v/>
      </c>
      <c r="V97" s="28" t="str">
        <f aca="false">IF(N97="","",IF(N97="수정",IF(Q97&lt;&gt;"",Q97,IF(OR(U97="명시 없음",U97="유보",U97="절 아님"),"",L97)),L97))</f>
        <v/>
      </c>
    </row>
    <row r="98" customFormat="false" ht="15" hidden="false" customHeight="false" outlineLevel="0" collapsed="false">
      <c r="A98" s="24" t="s">
        <v>200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5"/>
      <c r="O98" s="25"/>
      <c r="P98" s="25"/>
      <c r="Q98" s="25"/>
      <c r="R98" s="25"/>
      <c r="S98" s="25"/>
      <c r="T98" s="28" t="str">
        <f aca="false">IF(N98="","",IF(AND(N98="수정",O98&lt;&gt;""),O98,J98))</f>
        <v/>
      </c>
      <c r="U98" s="28" t="str">
        <f aca="false">IF(N98="","",IF(AND(N98="수정",P98&lt;&gt;""),P98,K98))</f>
        <v/>
      </c>
      <c r="V98" s="28" t="str">
        <f aca="false">IF(N98="","",IF(N98="수정",IF(Q98&lt;&gt;"",Q98,IF(OR(U98="명시 없음",U98="유보",U98="절 아님"),"",L98)),L98))</f>
        <v/>
      </c>
    </row>
    <row r="99" customFormat="false" ht="15" hidden="false" customHeight="false" outlineLevel="0" collapsed="false">
      <c r="A99" s="24" t="s">
        <v>200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5"/>
      <c r="O99" s="25"/>
      <c r="P99" s="25"/>
      <c r="Q99" s="25"/>
      <c r="R99" s="25"/>
      <c r="S99" s="25"/>
      <c r="T99" s="28" t="str">
        <f aca="false">IF(N99="","",IF(AND(N99="수정",O99&lt;&gt;""),O99,J99))</f>
        <v/>
      </c>
      <c r="U99" s="28" t="str">
        <f aca="false">IF(N99="","",IF(AND(N99="수정",P99&lt;&gt;""),P99,K99))</f>
        <v/>
      </c>
      <c r="V99" s="28" t="str">
        <f aca="false">IF(N99="","",IF(N99="수정",IF(Q99&lt;&gt;"",Q99,IF(OR(U99="명시 없음",U99="유보",U99="절 아님"),"",L99)),L99))</f>
        <v/>
      </c>
    </row>
    <row r="100" customFormat="false" ht="15" hidden="false" customHeight="false" outlineLevel="0" collapsed="false">
      <c r="A100" s="24" t="s">
        <v>200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  <c r="O100" s="25"/>
      <c r="P100" s="25"/>
      <c r="Q100" s="25"/>
      <c r="R100" s="25"/>
      <c r="S100" s="25"/>
      <c r="T100" s="28" t="str">
        <f aca="false">IF(N100="","",IF(AND(N100="수정",O100&lt;&gt;""),O100,J100))</f>
        <v/>
      </c>
      <c r="U100" s="28" t="str">
        <f aca="false">IF(N100="","",IF(AND(N100="수정",P100&lt;&gt;""),P100,K100))</f>
        <v/>
      </c>
      <c r="V100" s="28" t="str">
        <f aca="false">IF(N100="","",IF(N100="수정",IF(Q100&lt;&gt;"",Q100,IF(OR(U100="명시 없음",U100="유보",U100="절 아님"),"",L100)),L100))</f>
        <v/>
      </c>
    </row>
    <row r="101" customFormat="false" ht="15" hidden="false" customHeight="false" outlineLevel="0" collapsed="false">
      <c r="A101" s="24" t="s">
        <v>200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5"/>
      <c r="O101" s="25"/>
      <c r="P101" s="25"/>
      <c r="Q101" s="25"/>
      <c r="R101" s="25"/>
      <c r="S101" s="25"/>
      <c r="T101" s="28" t="str">
        <f aca="false">IF(N101="","",IF(AND(N101="수정",O101&lt;&gt;""),O101,J101))</f>
        <v/>
      </c>
      <c r="U101" s="28" t="str">
        <f aca="false">IF(N101="","",IF(AND(N101="수정",P101&lt;&gt;""),P101,K101))</f>
        <v/>
      </c>
      <c r="V101" s="28" t="str">
        <f aca="false">IF(N101="","",IF(N101="수정",IF(Q101&lt;&gt;"",Q101,IF(OR(U101="명시 없음",U101="유보",U101="절 아님"),"",L101)),L101))</f>
        <v/>
      </c>
    </row>
    <row r="102" customFormat="false" ht="15" hidden="false" customHeight="false" outlineLevel="0" collapsed="false">
      <c r="A102" s="24" t="s">
        <v>200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5"/>
      <c r="O102" s="25"/>
      <c r="P102" s="25"/>
      <c r="Q102" s="25"/>
      <c r="R102" s="25"/>
      <c r="S102" s="25"/>
      <c r="T102" s="28" t="str">
        <f aca="false">IF(N102="","",IF(AND(N102="수정",O102&lt;&gt;""),O102,J102))</f>
        <v/>
      </c>
      <c r="U102" s="28" t="str">
        <f aca="false">IF(N102="","",IF(AND(N102="수정",P102&lt;&gt;""),P102,K102))</f>
        <v/>
      </c>
      <c r="V102" s="28" t="str">
        <f aca="false">IF(N102="","",IF(N102="수정",IF(Q102&lt;&gt;"",Q102,IF(OR(U102="명시 없음",U102="유보",U102="절 아님"),"",L102)),L102))</f>
        <v/>
      </c>
    </row>
    <row r="103" customFormat="false" ht="15" hidden="false" customHeight="false" outlineLevel="0" collapsed="false">
      <c r="A103" s="24" t="s">
        <v>200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5"/>
      <c r="O103" s="25"/>
      <c r="P103" s="25"/>
      <c r="Q103" s="25"/>
      <c r="R103" s="25"/>
      <c r="S103" s="25"/>
      <c r="T103" s="28" t="str">
        <f aca="false">IF(N103="","",IF(AND(N103="수정",O103&lt;&gt;""),O103,J103))</f>
        <v/>
      </c>
      <c r="U103" s="28" t="str">
        <f aca="false">IF(N103="","",IF(AND(N103="수정",P103&lt;&gt;""),P103,K103))</f>
        <v/>
      </c>
      <c r="V103" s="28" t="str">
        <f aca="false">IF(N103="","",IF(N103="수정",IF(Q103&lt;&gt;"",Q103,IF(OR(U103="명시 없음",U103="유보",U103="절 아님"),"",L103)),L103))</f>
        <v/>
      </c>
    </row>
    <row r="104" customFormat="false" ht="15" hidden="false" customHeight="false" outlineLevel="0" collapsed="false">
      <c r="A104" s="24" t="s">
        <v>200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5"/>
      <c r="O104" s="25"/>
      <c r="P104" s="25"/>
      <c r="Q104" s="25"/>
      <c r="R104" s="25"/>
      <c r="S104" s="25"/>
      <c r="T104" s="28" t="str">
        <f aca="false">IF(N104="","",IF(AND(N104="수정",O104&lt;&gt;""),O104,J104))</f>
        <v/>
      </c>
      <c r="U104" s="28" t="str">
        <f aca="false">IF(N104="","",IF(AND(N104="수정",P104&lt;&gt;""),P104,K104))</f>
        <v/>
      </c>
      <c r="V104" s="28" t="str">
        <f aca="false">IF(N104="","",IF(N104="수정",IF(Q104&lt;&gt;"",Q104,IF(OR(U104="명시 없음",U104="유보",U104="절 아님"),"",L104)),L104))</f>
        <v/>
      </c>
    </row>
    <row r="105" customFormat="false" ht="15" hidden="false" customHeight="false" outlineLevel="0" collapsed="false">
      <c r="A105" s="24" t="s">
        <v>200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5"/>
      <c r="O105" s="25"/>
      <c r="P105" s="25"/>
      <c r="Q105" s="25"/>
      <c r="R105" s="25"/>
      <c r="S105" s="25"/>
      <c r="T105" s="28" t="str">
        <f aca="false">IF(N105="","",IF(AND(N105="수정",O105&lt;&gt;""),O105,J105))</f>
        <v/>
      </c>
      <c r="U105" s="28" t="str">
        <f aca="false">IF(N105="","",IF(AND(N105="수정",P105&lt;&gt;""),P105,K105))</f>
        <v/>
      </c>
      <c r="V105" s="28" t="str">
        <f aca="false">IF(N105="","",IF(N105="수정",IF(Q105&lt;&gt;"",Q105,IF(OR(U105="명시 없음",U105="유보",U105="절 아님"),"",L105)),L105))</f>
        <v/>
      </c>
    </row>
    <row r="106" customFormat="false" ht="15" hidden="false" customHeight="false" outlineLevel="0" collapsed="false">
      <c r="A106" s="24" t="s">
        <v>200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5"/>
      <c r="O106" s="25"/>
      <c r="P106" s="25"/>
      <c r="Q106" s="25"/>
      <c r="R106" s="25"/>
      <c r="S106" s="25"/>
      <c r="T106" s="28" t="str">
        <f aca="false">IF(N106="","",IF(AND(N106="수정",O106&lt;&gt;""),O106,J106))</f>
        <v/>
      </c>
      <c r="U106" s="28" t="str">
        <f aca="false">IF(N106="","",IF(AND(N106="수정",P106&lt;&gt;""),P106,K106))</f>
        <v/>
      </c>
      <c r="V106" s="28" t="str">
        <f aca="false">IF(N106="","",IF(N106="수정",IF(Q106&lt;&gt;"",Q106,IF(OR(U106="명시 없음",U106="유보",U106="절 아님"),"",L106)),L106))</f>
        <v/>
      </c>
    </row>
    <row r="107" customFormat="false" ht="15" hidden="false" customHeight="false" outlineLevel="0" collapsed="false">
      <c r="A107" s="24" t="s">
        <v>200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5"/>
      <c r="O107" s="25"/>
      <c r="P107" s="25"/>
      <c r="Q107" s="25"/>
      <c r="R107" s="25"/>
      <c r="S107" s="25"/>
      <c r="T107" s="28" t="str">
        <f aca="false">IF(N107="","",IF(AND(N107="수정",O107&lt;&gt;""),O107,J107))</f>
        <v/>
      </c>
      <c r="U107" s="28" t="str">
        <f aca="false">IF(N107="","",IF(AND(N107="수정",P107&lt;&gt;""),P107,K107))</f>
        <v/>
      </c>
      <c r="V107" s="28" t="str">
        <f aca="false">IF(N107="","",IF(N107="수정",IF(Q107&lt;&gt;"",Q107,IF(OR(U107="명시 없음",U107="유보",U107="절 아님"),"",L107)),L107))</f>
        <v/>
      </c>
    </row>
    <row r="108" customFormat="false" ht="15" hidden="false" customHeight="false" outlineLevel="0" collapsed="false">
      <c r="A108" s="24" t="s">
        <v>200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5"/>
      <c r="O108" s="25"/>
      <c r="P108" s="25"/>
      <c r="Q108" s="25"/>
      <c r="R108" s="25"/>
      <c r="S108" s="25"/>
      <c r="T108" s="28" t="str">
        <f aca="false">IF(N108="","",IF(AND(N108="수정",O108&lt;&gt;""),O108,J108))</f>
        <v/>
      </c>
      <c r="U108" s="28" t="str">
        <f aca="false">IF(N108="","",IF(AND(N108="수정",P108&lt;&gt;""),P108,K108))</f>
        <v/>
      </c>
      <c r="V108" s="28" t="str">
        <f aca="false">IF(N108="","",IF(N108="수정",IF(Q108&lt;&gt;"",Q108,IF(OR(U108="명시 없음",U108="유보",U108="절 아님"),"",L108)),L108))</f>
        <v/>
      </c>
    </row>
    <row r="109" customFormat="false" ht="15" hidden="false" customHeight="false" outlineLevel="0" collapsed="false">
      <c r="A109" s="24" t="s">
        <v>200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5"/>
      <c r="O109" s="25"/>
      <c r="P109" s="25"/>
      <c r="Q109" s="25"/>
      <c r="R109" s="25"/>
      <c r="S109" s="25"/>
      <c r="T109" s="28" t="str">
        <f aca="false">IF(N109="","",IF(AND(N109="수정",O109&lt;&gt;""),O109,J109))</f>
        <v/>
      </c>
      <c r="U109" s="28" t="str">
        <f aca="false">IF(N109="","",IF(AND(N109="수정",P109&lt;&gt;""),P109,K109))</f>
        <v/>
      </c>
      <c r="V109" s="28" t="str">
        <f aca="false">IF(N109="","",IF(N109="수정",IF(Q109&lt;&gt;"",Q109,IF(OR(U109="명시 없음",U109="유보",U109="절 아님"),"",L109)),L109))</f>
        <v/>
      </c>
    </row>
    <row r="110" customFormat="false" ht="15" hidden="false" customHeight="false" outlineLevel="0" collapsed="false">
      <c r="A110" s="24" t="s">
        <v>200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5"/>
      <c r="O110" s="25"/>
      <c r="P110" s="25"/>
      <c r="Q110" s="25"/>
      <c r="R110" s="25"/>
      <c r="S110" s="25"/>
      <c r="T110" s="28" t="str">
        <f aca="false">IF(N110="","",IF(AND(N110="수정",O110&lt;&gt;""),O110,J110))</f>
        <v/>
      </c>
      <c r="U110" s="28" t="str">
        <f aca="false">IF(N110="","",IF(AND(N110="수정",P110&lt;&gt;""),P110,K110))</f>
        <v/>
      </c>
      <c r="V110" s="28" t="str">
        <f aca="false">IF(N110="","",IF(N110="수정",IF(Q110&lt;&gt;"",Q110,IF(OR(U110="명시 없음",U110="유보",U110="절 아님"),"",L110)),L110))</f>
        <v/>
      </c>
    </row>
    <row r="111" customFormat="false" ht="15" hidden="false" customHeight="false" outlineLevel="0" collapsed="false">
      <c r="A111" s="24" t="s">
        <v>200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5"/>
      <c r="O111" s="25"/>
      <c r="P111" s="25"/>
      <c r="Q111" s="25"/>
      <c r="R111" s="25"/>
      <c r="S111" s="25"/>
      <c r="T111" s="28" t="str">
        <f aca="false">IF(N111="","",IF(AND(N111="수정",O111&lt;&gt;""),O111,J111))</f>
        <v/>
      </c>
      <c r="U111" s="28" t="str">
        <f aca="false">IF(N111="","",IF(AND(N111="수정",P111&lt;&gt;""),P111,K111))</f>
        <v/>
      </c>
      <c r="V111" s="28" t="str">
        <f aca="false">IF(N111="","",IF(N111="수정",IF(Q111&lt;&gt;"",Q111,IF(OR(U111="명시 없음",U111="유보",U111="절 아님"),"",L111)),L111))</f>
        <v/>
      </c>
    </row>
    <row r="112" customFormat="false" ht="15" hidden="false" customHeight="false" outlineLevel="0" collapsed="false">
      <c r="A112" s="24" t="s">
        <v>200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/>
      <c r="O112" s="25"/>
      <c r="P112" s="25"/>
      <c r="Q112" s="25"/>
      <c r="R112" s="25"/>
      <c r="S112" s="25"/>
      <c r="T112" s="28" t="str">
        <f aca="false">IF(N112="","",IF(AND(N112="수정",O112&lt;&gt;""),O112,J112))</f>
        <v/>
      </c>
      <c r="U112" s="28" t="str">
        <f aca="false">IF(N112="","",IF(AND(N112="수정",P112&lt;&gt;""),P112,K112))</f>
        <v/>
      </c>
      <c r="V112" s="28" t="str">
        <f aca="false">IF(N112="","",IF(N112="수정",IF(Q112&lt;&gt;"",Q112,IF(OR(U112="명시 없음",U112="유보",U112="절 아님"),"",L112)),L112))</f>
        <v/>
      </c>
    </row>
    <row r="113" customFormat="false" ht="15" hidden="false" customHeight="false" outlineLevel="0" collapsed="false">
      <c r="A113" s="24" t="s">
        <v>200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5"/>
      <c r="O113" s="25"/>
      <c r="P113" s="25"/>
      <c r="Q113" s="25"/>
      <c r="R113" s="25"/>
      <c r="S113" s="25"/>
      <c r="T113" s="28" t="str">
        <f aca="false">IF(N113="","",IF(AND(N113="수정",O113&lt;&gt;""),O113,J113))</f>
        <v/>
      </c>
      <c r="U113" s="28" t="str">
        <f aca="false">IF(N113="","",IF(AND(N113="수정",P113&lt;&gt;""),P113,K113))</f>
        <v/>
      </c>
      <c r="V113" s="28" t="str">
        <f aca="false">IF(N113="","",IF(N113="수정",IF(Q113&lt;&gt;"",Q113,IF(OR(U113="명시 없음",U113="유보",U113="절 아님"),"",L113)),L113))</f>
        <v/>
      </c>
    </row>
    <row r="114" customFormat="false" ht="15" hidden="false" customHeight="false" outlineLevel="0" collapsed="false">
      <c r="A114" s="24" t="s">
        <v>200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5"/>
      <c r="O114" s="25"/>
      <c r="P114" s="25"/>
      <c r="Q114" s="25"/>
      <c r="R114" s="25"/>
      <c r="S114" s="25"/>
      <c r="T114" s="28" t="str">
        <f aca="false">IF(N114="","",IF(AND(N114="수정",O114&lt;&gt;""),O114,J114))</f>
        <v/>
      </c>
      <c r="U114" s="28" t="str">
        <f aca="false">IF(N114="","",IF(AND(N114="수정",P114&lt;&gt;""),P114,K114))</f>
        <v/>
      </c>
      <c r="V114" s="28" t="str">
        <f aca="false">IF(N114="","",IF(N114="수정",IF(Q114&lt;&gt;"",Q114,IF(OR(U114="명시 없음",U114="유보",U114="절 아님"),"",L114)),L114))</f>
        <v/>
      </c>
    </row>
    <row r="115" customFormat="false" ht="15" hidden="false" customHeight="false" outlineLevel="0" collapsed="false">
      <c r="A115" s="24" t="s">
        <v>200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5"/>
      <c r="O115" s="25"/>
      <c r="P115" s="25"/>
      <c r="Q115" s="25"/>
      <c r="R115" s="25"/>
      <c r="S115" s="25"/>
      <c r="T115" s="28" t="str">
        <f aca="false">IF(N115="","",IF(AND(N115="수정",O115&lt;&gt;""),O115,J115))</f>
        <v/>
      </c>
      <c r="U115" s="28" t="str">
        <f aca="false">IF(N115="","",IF(AND(N115="수정",P115&lt;&gt;""),P115,K115))</f>
        <v/>
      </c>
      <c r="V115" s="28" t="str">
        <f aca="false">IF(N115="","",IF(N115="수정",IF(Q115&lt;&gt;"",Q115,IF(OR(U115="명시 없음",U115="유보",U115="절 아님"),"",L115)),L115))</f>
        <v/>
      </c>
    </row>
    <row r="116" customFormat="false" ht="15" hidden="false" customHeight="false" outlineLevel="0" collapsed="false">
      <c r="A116" s="24" t="s">
        <v>200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5"/>
      <c r="O116" s="25"/>
      <c r="P116" s="25"/>
      <c r="Q116" s="25"/>
      <c r="R116" s="25"/>
      <c r="S116" s="25"/>
      <c r="T116" s="28" t="str">
        <f aca="false">IF(N116="","",IF(AND(N116="수정",O116&lt;&gt;""),O116,J116))</f>
        <v/>
      </c>
      <c r="U116" s="28" t="str">
        <f aca="false">IF(N116="","",IF(AND(N116="수정",P116&lt;&gt;""),P116,K116))</f>
        <v/>
      </c>
      <c r="V116" s="28" t="str">
        <f aca="false">IF(N116="","",IF(N116="수정",IF(Q116&lt;&gt;"",Q116,IF(OR(U116="명시 없음",U116="유보",U116="절 아님"),"",L116)),L116))</f>
        <v/>
      </c>
    </row>
    <row r="117" customFormat="false" ht="15" hidden="false" customHeight="false" outlineLevel="0" collapsed="false">
      <c r="A117" s="24" t="s">
        <v>200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5"/>
      <c r="O117" s="25"/>
      <c r="P117" s="25"/>
      <c r="Q117" s="25"/>
      <c r="R117" s="25"/>
      <c r="S117" s="25"/>
      <c r="T117" s="28" t="str">
        <f aca="false">IF(N117="","",IF(AND(N117="수정",O117&lt;&gt;""),O117,J117))</f>
        <v/>
      </c>
      <c r="U117" s="28" t="str">
        <f aca="false">IF(N117="","",IF(AND(N117="수정",P117&lt;&gt;""),P117,K117))</f>
        <v/>
      </c>
      <c r="V117" s="28" t="str">
        <f aca="false">IF(N117="","",IF(N117="수정",IF(Q117&lt;&gt;"",Q117,IF(OR(U117="명시 없음",U117="유보",U117="절 아님"),"",L117)),L117))</f>
        <v/>
      </c>
    </row>
    <row r="118" customFormat="false" ht="15" hidden="false" customHeight="false" outlineLevel="0" collapsed="false">
      <c r="A118" s="24" t="s">
        <v>200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5"/>
      <c r="O118" s="25"/>
      <c r="P118" s="25"/>
      <c r="Q118" s="25"/>
      <c r="R118" s="25"/>
      <c r="S118" s="25"/>
      <c r="T118" s="28" t="str">
        <f aca="false">IF(N118="","",IF(AND(N118="수정",O118&lt;&gt;""),O118,J118))</f>
        <v/>
      </c>
      <c r="U118" s="28" t="str">
        <f aca="false">IF(N118="","",IF(AND(N118="수정",P118&lt;&gt;""),P118,K118))</f>
        <v/>
      </c>
      <c r="V118" s="28" t="str">
        <f aca="false">IF(N118="","",IF(N118="수정",IF(Q118&lt;&gt;"",Q118,IF(OR(U118="명시 없음",U118="유보",U118="절 아님"),"",L118)),L118))</f>
        <v/>
      </c>
    </row>
    <row r="119" customFormat="false" ht="15" hidden="false" customHeight="false" outlineLevel="0" collapsed="false">
      <c r="A119" s="24" t="s">
        <v>200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5"/>
      <c r="O119" s="25"/>
      <c r="P119" s="25"/>
      <c r="Q119" s="25"/>
      <c r="R119" s="25"/>
      <c r="S119" s="25"/>
      <c r="T119" s="28" t="str">
        <f aca="false">IF(N119="","",IF(AND(N119="수정",O119&lt;&gt;""),O119,J119))</f>
        <v/>
      </c>
      <c r="U119" s="28" t="str">
        <f aca="false">IF(N119="","",IF(AND(N119="수정",P119&lt;&gt;""),P119,K119))</f>
        <v/>
      </c>
      <c r="V119" s="28" t="str">
        <f aca="false">IF(N119="","",IF(N119="수정",IF(Q119&lt;&gt;"",Q119,IF(OR(U119="명시 없음",U119="유보",U119="절 아님"),"",L119)),L119))</f>
        <v/>
      </c>
    </row>
    <row r="120" customFormat="false" ht="15" hidden="false" customHeight="false" outlineLevel="0" collapsed="false">
      <c r="A120" s="24" t="s">
        <v>200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5"/>
      <c r="O120" s="25"/>
      <c r="P120" s="25"/>
      <c r="Q120" s="25"/>
      <c r="R120" s="25"/>
      <c r="S120" s="25"/>
      <c r="T120" s="28" t="str">
        <f aca="false">IF(N120="","",IF(AND(N120="수정",O120&lt;&gt;""),O120,J120))</f>
        <v/>
      </c>
      <c r="U120" s="28" t="str">
        <f aca="false">IF(N120="","",IF(AND(N120="수정",P120&lt;&gt;""),P120,K120))</f>
        <v/>
      </c>
      <c r="V120" s="28" t="str">
        <f aca="false">IF(N120="","",IF(N120="수정",IF(Q120&lt;&gt;"",Q120,IF(OR(U120="명시 없음",U120="유보",U120="절 아님"),"",L120)),L120))</f>
        <v/>
      </c>
    </row>
    <row r="121" customFormat="false" ht="15" hidden="false" customHeight="false" outlineLevel="0" collapsed="false">
      <c r="A121" s="24" t="s">
        <v>200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5"/>
      <c r="O121" s="25"/>
      <c r="P121" s="25"/>
      <c r="Q121" s="25"/>
      <c r="R121" s="25"/>
      <c r="S121" s="25"/>
      <c r="T121" s="28" t="str">
        <f aca="false">IF(N121="","",IF(AND(N121="수정",O121&lt;&gt;""),O121,J121))</f>
        <v/>
      </c>
      <c r="U121" s="28" t="str">
        <f aca="false">IF(N121="","",IF(AND(N121="수정",P121&lt;&gt;""),P121,K121))</f>
        <v/>
      </c>
      <c r="V121" s="28" t="str">
        <f aca="false">IF(N121="","",IF(N121="수정",IF(Q121&lt;&gt;"",Q121,IF(OR(U121="명시 없음",U121="유보",U121="절 아님"),"",L121)),L121))</f>
        <v/>
      </c>
    </row>
    <row r="122" customFormat="false" ht="15" hidden="false" customHeight="false" outlineLevel="0" collapsed="false">
      <c r="A122" s="24" t="s">
        <v>200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5"/>
      <c r="O122" s="25"/>
      <c r="P122" s="25"/>
      <c r="Q122" s="25"/>
      <c r="R122" s="25"/>
      <c r="S122" s="25"/>
      <c r="T122" s="28" t="str">
        <f aca="false">IF(N122="","",IF(AND(N122="수정",O122&lt;&gt;""),O122,J122))</f>
        <v/>
      </c>
      <c r="U122" s="28" t="str">
        <f aca="false">IF(N122="","",IF(AND(N122="수정",P122&lt;&gt;""),P122,K122))</f>
        <v/>
      </c>
      <c r="V122" s="28" t="str">
        <f aca="false">IF(N122="","",IF(N122="수정",IF(Q122&lt;&gt;"",Q122,IF(OR(U122="명시 없음",U122="유보",U122="절 아님"),"",L122)),L122))</f>
        <v/>
      </c>
    </row>
    <row r="123" customFormat="false" ht="15" hidden="false" customHeight="false" outlineLevel="0" collapsed="false">
      <c r="A123" s="24" t="s">
        <v>200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5"/>
      <c r="O123" s="25"/>
      <c r="P123" s="25"/>
      <c r="Q123" s="25"/>
      <c r="R123" s="25"/>
      <c r="S123" s="25"/>
      <c r="T123" s="28" t="str">
        <f aca="false">IF(N123="","",IF(AND(N123="수정",O123&lt;&gt;""),O123,J123))</f>
        <v/>
      </c>
      <c r="U123" s="28" t="str">
        <f aca="false">IF(N123="","",IF(AND(N123="수정",P123&lt;&gt;""),P123,K123))</f>
        <v/>
      </c>
      <c r="V123" s="28" t="str">
        <f aca="false">IF(N123="","",IF(N123="수정",IF(Q123&lt;&gt;"",Q123,IF(OR(U123="명시 없음",U123="유보",U123="절 아님"),"",L123)),L123))</f>
        <v/>
      </c>
    </row>
    <row r="124" customFormat="false" ht="15" hidden="false" customHeight="false" outlineLevel="0" collapsed="false">
      <c r="A124" s="24" t="s">
        <v>200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5"/>
      <c r="O124" s="25"/>
      <c r="P124" s="25"/>
      <c r="Q124" s="25"/>
      <c r="R124" s="25"/>
      <c r="S124" s="25"/>
      <c r="T124" s="28" t="str">
        <f aca="false">IF(N124="","",IF(AND(N124="수정",O124&lt;&gt;""),O124,J124))</f>
        <v/>
      </c>
      <c r="U124" s="28" t="str">
        <f aca="false">IF(N124="","",IF(AND(N124="수정",P124&lt;&gt;""),P124,K124))</f>
        <v/>
      </c>
      <c r="V124" s="28" t="str">
        <f aca="false">IF(N124="","",IF(N124="수정",IF(Q124&lt;&gt;"",Q124,IF(OR(U124="명시 없음",U124="유보",U124="절 아님"),"",L124)),L124))</f>
        <v/>
      </c>
    </row>
    <row r="125" customFormat="false" ht="15" hidden="false" customHeight="false" outlineLevel="0" collapsed="false">
      <c r="A125" s="24" t="s">
        <v>200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5"/>
      <c r="O125" s="25"/>
      <c r="P125" s="25"/>
      <c r="Q125" s="25"/>
      <c r="R125" s="25"/>
      <c r="S125" s="25"/>
      <c r="T125" s="28" t="str">
        <f aca="false">IF(N125="","",IF(AND(N125="수정",O125&lt;&gt;""),O125,J125))</f>
        <v/>
      </c>
      <c r="U125" s="28" t="str">
        <f aca="false">IF(N125="","",IF(AND(N125="수정",P125&lt;&gt;""),P125,K125))</f>
        <v/>
      </c>
      <c r="V125" s="28" t="str">
        <f aca="false">IF(N125="","",IF(N125="수정",IF(Q125&lt;&gt;"",Q125,IF(OR(U125="명시 없음",U125="유보",U125="절 아님"),"",L125)),L125))</f>
        <v/>
      </c>
    </row>
    <row r="126" customFormat="false" ht="15" hidden="false" customHeight="false" outlineLevel="0" collapsed="false">
      <c r="A126" s="24" t="s">
        <v>200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5"/>
      <c r="O126" s="25"/>
      <c r="P126" s="25"/>
      <c r="Q126" s="25"/>
      <c r="R126" s="25"/>
      <c r="S126" s="25"/>
      <c r="T126" s="28" t="str">
        <f aca="false">IF(N126="","",IF(AND(N126="수정",O126&lt;&gt;""),O126,J126))</f>
        <v/>
      </c>
      <c r="U126" s="28" t="str">
        <f aca="false">IF(N126="","",IF(AND(N126="수정",P126&lt;&gt;""),P126,K126))</f>
        <v/>
      </c>
      <c r="V126" s="28" t="str">
        <f aca="false">IF(N126="","",IF(N126="수정",IF(Q126&lt;&gt;"",Q126,IF(OR(U126="명시 없음",U126="유보",U126="절 아님"),"",L126)),L126))</f>
        <v/>
      </c>
    </row>
    <row r="127" customFormat="false" ht="15" hidden="false" customHeight="false" outlineLevel="0" collapsed="false">
      <c r="A127" s="24" t="s">
        <v>200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5"/>
      <c r="O127" s="25"/>
      <c r="P127" s="25"/>
      <c r="Q127" s="25"/>
      <c r="R127" s="25"/>
      <c r="S127" s="25"/>
      <c r="T127" s="28" t="str">
        <f aca="false">IF(N127="","",IF(AND(N127="수정",O127&lt;&gt;""),O127,J127))</f>
        <v/>
      </c>
      <c r="U127" s="28" t="str">
        <f aca="false">IF(N127="","",IF(AND(N127="수정",P127&lt;&gt;""),P127,K127))</f>
        <v/>
      </c>
      <c r="V127" s="28" t="str">
        <f aca="false">IF(N127="","",IF(N127="수정",IF(Q127&lt;&gt;"",Q127,IF(OR(U127="명시 없음",U127="유보",U127="절 아님"),"",L127)),L127))</f>
        <v/>
      </c>
    </row>
    <row r="128" customFormat="false" ht="15" hidden="false" customHeight="false" outlineLevel="0" collapsed="false">
      <c r="A128" s="24" t="s">
        <v>200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5"/>
      <c r="O128" s="25"/>
      <c r="P128" s="25"/>
      <c r="Q128" s="25"/>
      <c r="R128" s="25"/>
      <c r="S128" s="25"/>
      <c r="T128" s="28" t="str">
        <f aca="false">IF(N128="","",IF(AND(N128="수정",O128&lt;&gt;""),O128,J128))</f>
        <v/>
      </c>
      <c r="U128" s="28" t="str">
        <f aca="false">IF(N128="","",IF(AND(N128="수정",P128&lt;&gt;""),P128,K128))</f>
        <v/>
      </c>
      <c r="V128" s="28" t="str">
        <f aca="false">IF(N128="","",IF(N128="수정",IF(Q128&lt;&gt;"",Q128,IF(OR(U128="명시 없음",U128="유보",U128="절 아님"),"",L128)),L128))</f>
        <v/>
      </c>
    </row>
    <row r="129" customFormat="false" ht="15" hidden="false" customHeight="false" outlineLevel="0" collapsed="false">
      <c r="A129" s="24" t="s">
        <v>200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5"/>
      <c r="O129" s="25"/>
      <c r="P129" s="25"/>
      <c r="Q129" s="25"/>
      <c r="R129" s="25"/>
      <c r="S129" s="25"/>
      <c r="T129" s="28" t="str">
        <f aca="false">IF(N129="","",IF(AND(N129="수정",O129&lt;&gt;""),O129,J129))</f>
        <v/>
      </c>
      <c r="U129" s="28" t="str">
        <f aca="false">IF(N129="","",IF(AND(N129="수정",P129&lt;&gt;""),P129,K129))</f>
        <v/>
      </c>
      <c r="V129" s="28" t="str">
        <f aca="false">IF(N129="","",IF(N129="수정",IF(Q129&lt;&gt;"",Q129,IF(OR(U129="명시 없음",U129="유보",U129="절 아님"),"",L129)),L129))</f>
        <v/>
      </c>
    </row>
    <row r="130" customFormat="false" ht="15" hidden="false" customHeight="false" outlineLevel="0" collapsed="false">
      <c r="A130" s="24" t="s">
        <v>200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5"/>
      <c r="O130" s="25"/>
      <c r="P130" s="25"/>
      <c r="Q130" s="25"/>
      <c r="R130" s="25"/>
      <c r="S130" s="25"/>
      <c r="T130" s="28" t="str">
        <f aca="false">IF(N130="","",IF(AND(N130="수정",O130&lt;&gt;""),O130,J130))</f>
        <v/>
      </c>
      <c r="U130" s="28" t="str">
        <f aca="false">IF(N130="","",IF(AND(N130="수정",P130&lt;&gt;""),P130,K130))</f>
        <v/>
      </c>
      <c r="V130" s="28" t="str">
        <f aca="false">IF(N130="","",IF(N130="수정",IF(Q130&lt;&gt;"",Q130,IF(OR(U130="명시 없음",U130="유보",U130="절 아님"),"",L130)),L130))</f>
        <v/>
      </c>
    </row>
    <row r="131" customFormat="false" ht="15" hidden="false" customHeight="false" outlineLevel="0" collapsed="false">
      <c r="A131" s="24" t="s">
        <v>200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5"/>
      <c r="O131" s="25"/>
      <c r="P131" s="25"/>
      <c r="Q131" s="25"/>
      <c r="R131" s="25"/>
      <c r="S131" s="25"/>
      <c r="T131" s="28" t="str">
        <f aca="false">IF(N131="","",IF(AND(N131="수정",O131&lt;&gt;""),O131,J131))</f>
        <v/>
      </c>
      <c r="U131" s="28" t="str">
        <f aca="false">IF(N131="","",IF(AND(N131="수정",P131&lt;&gt;""),P131,K131))</f>
        <v/>
      </c>
      <c r="V131" s="28" t="str">
        <f aca="false">IF(N131="","",IF(N131="수정",IF(Q131&lt;&gt;"",Q131,IF(OR(U131="명시 없음",U131="유보",U131="절 아님"),"",L131)),L131))</f>
        <v/>
      </c>
    </row>
    <row r="132" customFormat="false" ht="15" hidden="false" customHeight="false" outlineLevel="0" collapsed="false">
      <c r="A132" s="24" t="s">
        <v>200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5"/>
      <c r="O132" s="25"/>
      <c r="P132" s="25"/>
      <c r="Q132" s="25"/>
      <c r="R132" s="25"/>
      <c r="S132" s="25"/>
      <c r="T132" s="28" t="str">
        <f aca="false">IF(N132="","",IF(AND(N132="수정",O132&lt;&gt;""),O132,J132))</f>
        <v/>
      </c>
      <c r="U132" s="28" t="str">
        <f aca="false">IF(N132="","",IF(AND(N132="수정",P132&lt;&gt;""),P132,K132))</f>
        <v/>
      </c>
      <c r="V132" s="28" t="str">
        <f aca="false">IF(N132="","",IF(N132="수정",IF(Q132&lt;&gt;"",Q132,IF(OR(U132="명시 없음",U132="유보",U132="절 아님"),"",L132)),L132))</f>
        <v/>
      </c>
    </row>
    <row r="133" customFormat="false" ht="15" hidden="false" customHeight="false" outlineLevel="0" collapsed="false">
      <c r="A133" s="24" t="s">
        <v>200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5"/>
      <c r="O133" s="25"/>
      <c r="P133" s="25"/>
      <c r="Q133" s="25"/>
      <c r="R133" s="25"/>
      <c r="S133" s="25"/>
      <c r="T133" s="28" t="str">
        <f aca="false">IF(N133="","",IF(AND(N133="수정",O133&lt;&gt;""),O133,J133))</f>
        <v/>
      </c>
      <c r="U133" s="28" t="str">
        <f aca="false">IF(N133="","",IF(AND(N133="수정",P133&lt;&gt;""),P133,K133))</f>
        <v/>
      </c>
      <c r="V133" s="28" t="str">
        <f aca="false">IF(N133="","",IF(N133="수정",IF(Q133&lt;&gt;"",Q133,IF(OR(U133="명시 없음",U133="유보",U133="절 아님"),"",L133)),L133))</f>
        <v/>
      </c>
    </row>
    <row r="134" customFormat="false" ht="15" hidden="false" customHeight="false" outlineLevel="0" collapsed="false">
      <c r="A134" s="24" t="s">
        <v>200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5"/>
      <c r="O134" s="25"/>
      <c r="P134" s="25"/>
      <c r="Q134" s="25"/>
      <c r="R134" s="25"/>
      <c r="S134" s="25"/>
      <c r="T134" s="28" t="str">
        <f aca="false">IF(N134="","",IF(AND(N134="수정",O134&lt;&gt;""),O134,J134))</f>
        <v/>
      </c>
      <c r="U134" s="28" t="str">
        <f aca="false">IF(N134="","",IF(AND(N134="수정",P134&lt;&gt;""),P134,K134))</f>
        <v/>
      </c>
      <c r="V134" s="28" t="str">
        <f aca="false">IF(N134="","",IF(N134="수정",IF(Q134&lt;&gt;"",Q134,IF(OR(U134="명시 없음",U134="유보",U134="절 아님"),"",L134)),L134))</f>
        <v/>
      </c>
    </row>
    <row r="135" customFormat="false" ht="15" hidden="false" customHeight="false" outlineLevel="0" collapsed="false">
      <c r="A135" s="24" t="s">
        <v>200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5"/>
      <c r="O135" s="25"/>
      <c r="P135" s="25"/>
      <c r="Q135" s="25"/>
      <c r="R135" s="25"/>
      <c r="S135" s="25"/>
      <c r="T135" s="28" t="str">
        <f aca="false">IF(N135="","",IF(AND(N135="수정",O135&lt;&gt;""),O135,J135))</f>
        <v/>
      </c>
      <c r="U135" s="28" t="str">
        <f aca="false">IF(N135="","",IF(AND(N135="수정",P135&lt;&gt;""),P135,K135))</f>
        <v/>
      </c>
      <c r="V135" s="28" t="str">
        <f aca="false">IF(N135="","",IF(N135="수정",IF(Q135&lt;&gt;"",Q135,IF(OR(U135="명시 없음",U135="유보",U135="절 아님"),"",L135)),L135))</f>
        <v/>
      </c>
    </row>
    <row r="136" customFormat="false" ht="15" hidden="false" customHeight="false" outlineLevel="0" collapsed="false">
      <c r="A136" s="24" t="s">
        <v>200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5"/>
      <c r="O136" s="25"/>
      <c r="P136" s="25"/>
      <c r="Q136" s="25"/>
      <c r="R136" s="25"/>
      <c r="S136" s="25"/>
      <c r="T136" s="28" t="str">
        <f aca="false">IF(N136="","",IF(AND(N136="수정",O136&lt;&gt;""),O136,J136))</f>
        <v/>
      </c>
      <c r="U136" s="28" t="str">
        <f aca="false">IF(N136="","",IF(AND(N136="수정",P136&lt;&gt;""),P136,K136))</f>
        <v/>
      </c>
      <c r="V136" s="28" t="str">
        <f aca="false">IF(N136="","",IF(N136="수정",IF(Q136&lt;&gt;"",Q136,IF(OR(U136="명시 없음",U136="유보",U136="절 아님"),"",L136)),L136))</f>
        <v/>
      </c>
    </row>
    <row r="137" customFormat="false" ht="15" hidden="false" customHeight="false" outlineLevel="0" collapsed="false">
      <c r="A137" s="24" t="s">
        <v>200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5"/>
      <c r="O137" s="25"/>
      <c r="P137" s="25"/>
      <c r="Q137" s="25"/>
      <c r="R137" s="25"/>
      <c r="S137" s="25"/>
      <c r="T137" s="28" t="str">
        <f aca="false">IF(N137="","",IF(AND(N137="수정",O137&lt;&gt;""),O137,J137))</f>
        <v/>
      </c>
      <c r="U137" s="28" t="str">
        <f aca="false">IF(N137="","",IF(AND(N137="수정",P137&lt;&gt;""),P137,K137))</f>
        <v/>
      </c>
      <c r="V137" s="28" t="str">
        <f aca="false">IF(N137="","",IF(N137="수정",IF(Q137&lt;&gt;"",Q137,IF(OR(U137="명시 없음",U137="유보",U137="절 아님"),"",L137)),L137))</f>
        <v/>
      </c>
    </row>
    <row r="138" customFormat="false" ht="15" hidden="false" customHeight="false" outlineLevel="0" collapsed="false">
      <c r="A138" s="24" t="s">
        <v>200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5"/>
      <c r="O138" s="25"/>
      <c r="P138" s="25"/>
      <c r="Q138" s="25"/>
      <c r="R138" s="25"/>
      <c r="S138" s="25"/>
      <c r="T138" s="28" t="str">
        <f aca="false">IF(N138="","",IF(AND(N138="수정",O138&lt;&gt;""),O138,J138))</f>
        <v/>
      </c>
      <c r="U138" s="28" t="str">
        <f aca="false">IF(N138="","",IF(AND(N138="수정",P138&lt;&gt;""),P138,K138))</f>
        <v/>
      </c>
      <c r="V138" s="28" t="str">
        <f aca="false">IF(N138="","",IF(N138="수정",IF(Q138&lt;&gt;"",Q138,IF(OR(U138="명시 없음",U138="유보",U138="절 아님"),"",L138)),L138))</f>
        <v/>
      </c>
    </row>
    <row r="139" customFormat="false" ht="15" hidden="false" customHeight="false" outlineLevel="0" collapsed="false">
      <c r="A139" s="24" t="s">
        <v>200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5"/>
      <c r="O139" s="25"/>
      <c r="P139" s="25"/>
      <c r="Q139" s="25"/>
      <c r="R139" s="25"/>
      <c r="S139" s="25"/>
      <c r="T139" s="28" t="str">
        <f aca="false">IF(N139="","",IF(AND(N139="수정",O139&lt;&gt;""),O139,J139))</f>
        <v/>
      </c>
      <c r="U139" s="28" t="str">
        <f aca="false">IF(N139="","",IF(AND(N139="수정",P139&lt;&gt;""),P139,K139))</f>
        <v/>
      </c>
      <c r="V139" s="28" t="str">
        <f aca="false">IF(N139="","",IF(N139="수정",IF(Q139&lt;&gt;"",Q139,IF(OR(U139="명시 없음",U139="유보",U139="절 아님"),"",L139)),L139))</f>
        <v/>
      </c>
    </row>
    <row r="140" customFormat="false" ht="15" hidden="false" customHeight="false" outlineLevel="0" collapsed="false">
      <c r="A140" s="24" t="s">
        <v>200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5"/>
      <c r="O140" s="25"/>
      <c r="P140" s="25"/>
      <c r="Q140" s="25"/>
      <c r="R140" s="25"/>
      <c r="S140" s="25"/>
      <c r="T140" s="28" t="str">
        <f aca="false">IF(N140="","",IF(AND(N140="수정",O140&lt;&gt;""),O140,J140))</f>
        <v/>
      </c>
      <c r="U140" s="28" t="str">
        <f aca="false">IF(N140="","",IF(AND(N140="수정",P140&lt;&gt;""),P140,K140))</f>
        <v/>
      </c>
      <c r="V140" s="28" t="str">
        <f aca="false">IF(N140="","",IF(N140="수정",IF(Q140&lt;&gt;"",Q140,IF(OR(U140="명시 없음",U140="유보",U140="절 아님"),"",L140)),L140))</f>
        <v/>
      </c>
    </row>
    <row r="141" customFormat="false" ht="15" hidden="false" customHeight="false" outlineLevel="0" collapsed="false">
      <c r="A141" s="24" t="s">
        <v>200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5"/>
      <c r="O141" s="25"/>
      <c r="P141" s="25"/>
      <c r="Q141" s="25"/>
      <c r="R141" s="25"/>
      <c r="S141" s="25"/>
      <c r="T141" s="28" t="str">
        <f aca="false">IF(N141="","",IF(AND(N141="수정",O141&lt;&gt;""),O141,J141))</f>
        <v/>
      </c>
      <c r="U141" s="28" t="str">
        <f aca="false">IF(N141="","",IF(AND(N141="수정",P141&lt;&gt;""),P141,K141))</f>
        <v/>
      </c>
      <c r="V141" s="28" t="str">
        <f aca="false">IF(N141="","",IF(N141="수정",IF(Q141&lt;&gt;"",Q141,IF(OR(U141="명시 없음",U141="유보",U141="절 아님"),"",L141)),L141))</f>
        <v/>
      </c>
    </row>
    <row r="142" customFormat="false" ht="15" hidden="false" customHeight="false" outlineLevel="0" collapsed="false">
      <c r="A142" s="24" t="s">
        <v>200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5"/>
      <c r="O142" s="25"/>
      <c r="P142" s="25"/>
      <c r="Q142" s="25"/>
      <c r="R142" s="25"/>
      <c r="S142" s="25"/>
      <c r="T142" s="28" t="str">
        <f aca="false">IF(N142="","",IF(AND(N142="수정",O142&lt;&gt;""),O142,J142))</f>
        <v/>
      </c>
      <c r="U142" s="28" t="str">
        <f aca="false">IF(N142="","",IF(AND(N142="수정",P142&lt;&gt;""),P142,K142))</f>
        <v/>
      </c>
      <c r="V142" s="28" t="str">
        <f aca="false">IF(N142="","",IF(N142="수정",IF(Q142&lt;&gt;"",Q142,IF(OR(U142="명시 없음",U142="유보",U142="절 아님"),"",L142)),L142))</f>
        <v/>
      </c>
    </row>
    <row r="143" customFormat="false" ht="15" hidden="false" customHeight="false" outlineLevel="0" collapsed="false">
      <c r="A143" s="24" t="s">
        <v>200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5"/>
      <c r="O143" s="25"/>
      <c r="P143" s="25"/>
      <c r="Q143" s="25"/>
      <c r="R143" s="25"/>
      <c r="S143" s="25"/>
      <c r="T143" s="28" t="str">
        <f aca="false">IF(N143="","",IF(AND(N143="수정",O143&lt;&gt;""),O143,J143))</f>
        <v/>
      </c>
      <c r="U143" s="28" t="str">
        <f aca="false">IF(N143="","",IF(AND(N143="수정",P143&lt;&gt;""),P143,K143))</f>
        <v/>
      </c>
      <c r="V143" s="28" t="str">
        <f aca="false">IF(N143="","",IF(N143="수정",IF(Q143&lt;&gt;"",Q143,IF(OR(U143="명시 없음",U143="유보",U143="절 아님"),"",L143)),L143))</f>
        <v/>
      </c>
    </row>
    <row r="144" customFormat="false" ht="15" hidden="false" customHeight="false" outlineLevel="0" collapsed="false">
      <c r="A144" s="24" t="s">
        <v>200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5"/>
      <c r="O144" s="25"/>
      <c r="P144" s="25"/>
      <c r="Q144" s="25"/>
      <c r="R144" s="25"/>
      <c r="S144" s="25"/>
      <c r="T144" s="28" t="str">
        <f aca="false">IF(N144="","",IF(AND(N144="수정",O144&lt;&gt;""),O144,J144))</f>
        <v/>
      </c>
      <c r="U144" s="28" t="str">
        <f aca="false">IF(N144="","",IF(AND(N144="수정",P144&lt;&gt;""),P144,K144))</f>
        <v/>
      </c>
      <c r="V144" s="28" t="str">
        <f aca="false">IF(N144="","",IF(N144="수정",IF(Q144&lt;&gt;"",Q144,IF(OR(U144="명시 없음",U144="유보",U144="절 아님"),"",L144)),L144))</f>
        <v/>
      </c>
    </row>
    <row r="145" customFormat="false" ht="15" hidden="false" customHeight="false" outlineLevel="0" collapsed="false">
      <c r="A145" s="24" t="s">
        <v>200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5"/>
      <c r="O145" s="25"/>
      <c r="P145" s="25"/>
      <c r="Q145" s="25"/>
      <c r="R145" s="25"/>
      <c r="S145" s="25"/>
      <c r="T145" s="28" t="str">
        <f aca="false">IF(N145="","",IF(AND(N145="수정",O145&lt;&gt;""),O145,J145))</f>
        <v/>
      </c>
      <c r="U145" s="28" t="str">
        <f aca="false">IF(N145="","",IF(AND(N145="수정",P145&lt;&gt;""),P145,K145))</f>
        <v/>
      </c>
      <c r="V145" s="28" t="str">
        <f aca="false">IF(N145="","",IF(N145="수정",IF(Q145&lt;&gt;"",Q145,IF(OR(U145="명시 없음",U145="유보",U145="절 아님"),"",L145)),L145))</f>
        <v/>
      </c>
    </row>
    <row r="146" customFormat="false" ht="15" hidden="false" customHeight="false" outlineLevel="0" collapsed="false">
      <c r="A146" s="24" t="s">
        <v>200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5"/>
      <c r="O146" s="25"/>
      <c r="P146" s="25"/>
      <c r="Q146" s="25"/>
      <c r="R146" s="25"/>
      <c r="S146" s="25"/>
      <c r="T146" s="28" t="str">
        <f aca="false">IF(N146="","",IF(AND(N146="수정",O146&lt;&gt;""),O146,J146))</f>
        <v/>
      </c>
      <c r="U146" s="28" t="str">
        <f aca="false">IF(N146="","",IF(AND(N146="수정",P146&lt;&gt;""),P146,K146))</f>
        <v/>
      </c>
      <c r="V146" s="28" t="str">
        <f aca="false">IF(N146="","",IF(N146="수정",IF(Q146&lt;&gt;"",Q146,IF(OR(U146="명시 없음",U146="유보",U146="절 아님"),"",L146)),L146))</f>
        <v/>
      </c>
    </row>
    <row r="147" customFormat="false" ht="15" hidden="false" customHeight="false" outlineLevel="0" collapsed="false">
      <c r="A147" s="24" t="s">
        <v>200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5"/>
      <c r="O147" s="25"/>
      <c r="P147" s="25"/>
      <c r="Q147" s="25"/>
      <c r="R147" s="25"/>
      <c r="S147" s="25"/>
      <c r="T147" s="28" t="str">
        <f aca="false">IF(N147="","",IF(AND(N147="수정",O147&lt;&gt;""),O147,J147))</f>
        <v/>
      </c>
      <c r="U147" s="28" t="str">
        <f aca="false">IF(N147="","",IF(AND(N147="수정",P147&lt;&gt;""),P147,K147))</f>
        <v/>
      </c>
      <c r="V147" s="28" t="str">
        <f aca="false">IF(N147="","",IF(N147="수정",IF(Q147&lt;&gt;"",Q147,IF(OR(U147="명시 없음",U147="유보",U147="절 아님"),"",L147)),L147))</f>
        <v/>
      </c>
    </row>
    <row r="148" customFormat="false" ht="15" hidden="false" customHeight="false" outlineLevel="0" collapsed="false">
      <c r="A148" s="24" t="s">
        <v>200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5"/>
      <c r="O148" s="25"/>
      <c r="P148" s="25"/>
      <c r="Q148" s="25"/>
      <c r="R148" s="25"/>
      <c r="S148" s="25"/>
      <c r="T148" s="28" t="str">
        <f aca="false">IF(N148="","",IF(AND(N148="수정",O148&lt;&gt;""),O148,J148))</f>
        <v/>
      </c>
      <c r="U148" s="28" t="str">
        <f aca="false">IF(N148="","",IF(AND(N148="수정",P148&lt;&gt;""),P148,K148))</f>
        <v/>
      </c>
      <c r="V148" s="28" t="str">
        <f aca="false">IF(N148="","",IF(N148="수정",IF(Q148&lt;&gt;"",Q148,IF(OR(U148="명시 없음",U148="유보",U148="절 아님"),"",L148)),L148))</f>
        <v/>
      </c>
    </row>
    <row r="149" customFormat="false" ht="15" hidden="false" customHeight="false" outlineLevel="0" collapsed="false">
      <c r="A149" s="24" t="s">
        <v>200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5"/>
      <c r="O149" s="25"/>
      <c r="P149" s="25"/>
      <c r="Q149" s="25"/>
      <c r="R149" s="25"/>
      <c r="S149" s="25"/>
      <c r="T149" s="28" t="str">
        <f aca="false">IF(N149="","",IF(AND(N149="수정",O149&lt;&gt;""),O149,J149))</f>
        <v/>
      </c>
      <c r="U149" s="28" t="str">
        <f aca="false">IF(N149="","",IF(AND(N149="수정",P149&lt;&gt;""),P149,K149))</f>
        <v/>
      </c>
      <c r="V149" s="28" t="str">
        <f aca="false">IF(N149="","",IF(N149="수정",IF(Q149&lt;&gt;"",Q149,IF(OR(U149="명시 없음",U149="유보",U149="절 아님"),"",L149)),L149))</f>
        <v/>
      </c>
    </row>
    <row r="150" customFormat="false" ht="15" hidden="false" customHeight="false" outlineLevel="0" collapsed="false">
      <c r="A150" s="24" t="s">
        <v>200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5"/>
      <c r="O150" s="25"/>
      <c r="P150" s="25"/>
      <c r="Q150" s="25"/>
      <c r="R150" s="25"/>
      <c r="S150" s="25"/>
      <c r="T150" s="28" t="str">
        <f aca="false">IF(N150="","",IF(AND(N150="수정",O150&lt;&gt;""),O150,J150))</f>
        <v/>
      </c>
      <c r="U150" s="28" t="str">
        <f aca="false">IF(N150="","",IF(AND(N150="수정",P150&lt;&gt;""),P150,K150))</f>
        <v/>
      </c>
      <c r="V150" s="28" t="str">
        <f aca="false">IF(N150="","",IF(N150="수정",IF(Q150&lt;&gt;"",Q150,IF(OR(U150="명시 없음",U150="유보",U150="절 아님"),"",L150)),L150))</f>
        <v/>
      </c>
    </row>
    <row r="151" customFormat="false" ht="15" hidden="false" customHeight="false" outlineLevel="0" collapsed="false">
      <c r="A151" s="24" t="s">
        <v>200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5"/>
      <c r="O151" s="25"/>
      <c r="P151" s="25"/>
      <c r="Q151" s="25"/>
      <c r="R151" s="25"/>
      <c r="S151" s="25"/>
      <c r="T151" s="28" t="str">
        <f aca="false">IF(N151="","",IF(AND(N151="수정",O151&lt;&gt;""),O151,J151))</f>
        <v/>
      </c>
      <c r="U151" s="28" t="str">
        <f aca="false">IF(N151="","",IF(AND(N151="수정",P151&lt;&gt;""),P151,K151))</f>
        <v/>
      </c>
      <c r="V151" s="28" t="str">
        <f aca="false">IF(N151="","",IF(N151="수정",IF(Q151&lt;&gt;"",Q151,IF(OR(U151="명시 없음",U151="유보",U151="절 아님"),"",L151)),L151))</f>
        <v/>
      </c>
    </row>
    <row r="152" customFormat="false" ht="15" hidden="false" customHeight="false" outlineLevel="0" collapsed="false">
      <c r="A152" s="24" t="s">
        <v>200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5"/>
      <c r="O152" s="25"/>
      <c r="P152" s="25"/>
      <c r="Q152" s="25"/>
      <c r="R152" s="25"/>
      <c r="S152" s="25"/>
      <c r="T152" s="28" t="str">
        <f aca="false">IF(N152="","",IF(AND(N152="수정",O152&lt;&gt;""),O152,J152))</f>
        <v/>
      </c>
      <c r="U152" s="28" t="str">
        <f aca="false">IF(N152="","",IF(AND(N152="수정",P152&lt;&gt;""),P152,K152))</f>
        <v/>
      </c>
      <c r="V152" s="28" t="str">
        <f aca="false">IF(N152="","",IF(N152="수정",IF(Q152&lt;&gt;"",Q152,IF(OR(U152="명시 없음",U152="유보",U152="절 아님"),"",L152)),L152))</f>
        <v/>
      </c>
    </row>
    <row r="153" customFormat="false" ht="15" hidden="false" customHeight="false" outlineLevel="0" collapsed="false">
      <c r="A153" s="24" t="s">
        <v>200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5"/>
      <c r="O153" s="25"/>
      <c r="P153" s="25"/>
      <c r="Q153" s="25"/>
      <c r="R153" s="25"/>
      <c r="S153" s="25"/>
      <c r="T153" s="28" t="str">
        <f aca="false">IF(N153="","",IF(AND(N153="수정",O153&lt;&gt;""),O153,J153))</f>
        <v/>
      </c>
      <c r="U153" s="28" t="str">
        <f aca="false">IF(N153="","",IF(AND(N153="수정",P153&lt;&gt;""),P153,K153))</f>
        <v/>
      </c>
      <c r="V153" s="28" t="str">
        <f aca="false">IF(N153="","",IF(N153="수정",IF(Q153&lt;&gt;"",Q153,IF(OR(U153="명시 없음",U153="유보",U153="절 아님"),"",L153)),L153))</f>
        <v/>
      </c>
    </row>
    <row r="154" customFormat="false" ht="15" hidden="false" customHeight="false" outlineLevel="0" collapsed="false">
      <c r="A154" s="24" t="s">
        <v>200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5"/>
      <c r="O154" s="25"/>
      <c r="P154" s="25"/>
      <c r="Q154" s="25"/>
      <c r="R154" s="25"/>
      <c r="S154" s="25"/>
      <c r="T154" s="28" t="str">
        <f aca="false">IF(N154="","",IF(AND(N154="수정",O154&lt;&gt;""),O154,J154))</f>
        <v/>
      </c>
      <c r="U154" s="28" t="str">
        <f aca="false">IF(N154="","",IF(AND(N154="수정",P154&lt;&gt;""),P154,K154))</f>
        <v/>
      </c>
      <c r="V154" s="28" t="str">
        <f aca="false">IF(N154="","",IF(N154="수정",IF(Q154&lt;&gt;"",Q154,IF(OR(U154="명시 없음",U154="유보",U154="절 아님"),"",L154)),L154))</f>
        <v/>
      </c>
    </row>
    <row r="155" customFormat="false" ht="15" hidden="false" customHeight="false" outlineLevel="0" collapsed="false">
      <c r="A155" s="24" t="s">
        <v>200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5"/>
      <c r="O155" s="25"/>
      <c r="P155" s="25"/>
      <c r="Q155" s="25"/>
      <c r="R155" s="25"/>
      <c r="S155" s="25"/>
      <c r="T155" s="28" t="str">
        <f aca="false">IF(N155="","",IF(AND(N155="수정",O155&lt;&gt;""),O155,J155))</f>
        <v/>
      </c>
      <c r="U155" s="28" t="str">
        <f aca="false">IF(N155="","",IF(AND(N155="수정",P155&lt;&gt;""),P155,K155))</f>
        <v/>
      </c>
      <c r="V155" s="28" t="str">
        <f aca="false">IF(N155="","",IF(N155="수정",IF(Q155&lt;&gt;"",Q155,IF(OR(U155="명시 없음",U155="유보",U155="절 아님"),"",L155)),L155))</f>
        <v/>
      </c>
    </row>
    <row r="156" customFormat="false" ht="15" hidden="false" customHeight="false" outlineLevel="0" collapsed="false">
      <c r="A156" s="24" t="s">
        <v>200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5"/>
      <c r="O156" s="25"/>
      <c r="P156" s="25"/>
      <c r="Q156" s="25"/>
      <c r="R156" s="25"/>
      <c r="S156" s="25"/>
      <c r="T156" s="28" t="str">
        <f aca="false">IF(N156="","",IF(AND(N156="수정",O156&lt;&gt;""),O156,J156))</f>
        <v/>
      </c>
      <c r="U156" s="28" t="str">
        <f aca="false">IF(N156="","",IF(AND(N156="수정",P156&lt;&gt;""),P156,K156))</f>
        <v/>
      </c>
      <c r="V156" s="28" t="str">
        <f aca="false">IF(N156="","",IF(N156="수정",IF(Q156&lt;&gt;"",Q156,IF(OR(U156="명시 없음",U156="유보",U156="절 아님"),"",L156)),L156))</f>
        <v/>
      </c>
    </row>
    <row r="157" customFormat="false" ht="15" hidden="false" customHeight="false" outlineLevel="0" collapsed="false">
      <c r="A157" s="24" t="s">
        <v>200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5"/>
      <c r="O157" s="25"/>
      <c r="P157" s="25"/>
      <c r="Q157" s="25"/>
      <c r="R157" s="25"/>
      <c r="S157" s="25"/>
      <c r="T157" s="28" t="str">
        <f aca="false">IF(N157="","",IF(AND(N157="수정",O157&lt;&gt;""),O157,J157))</f>
        <v/>
      </c>
      <c r="U157" s="28" t="str">
        <f aca="false">IF(N157="","",IF(AND(N157="수정",P157&lt;&gt;""),P157,K157))</f>
        <v/>
      </c>
      <c r="V157" s="28" t="str">
        <f aca="false">IF(N157="","",IF(N157="수정",IF(Q157&lt;&gt;"",Q157,IF(OR(U157="명시 없음",U157="유보",U157="절 아님"),"",L157)),L157))</f>
        <v/>
      </c>
    </row>
    <row r="158" customFormat="false" ht="15" hidden="false" customHeight="false" outlineLevel="0" collapsed="false">
      <c r="A158" s="24" t="s">
        <v>200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5"/>
      <c r="O158" s="25"/>
      <c r="P158" s="25"/>
      <c r="Q158" s="25"/>
      <c r="R158" s="25"/>
      <c r="S158" s="25"/>
      <c r="T158" s="28" t="str">
        <f aca="false">IF(N158="","",IF(AND(N158="수정",O158&lt;&gt;""),O158,J158))</f>
        <v/>
      </c>
      <c r="U158" s="28" t="str">
        <f aca="false">IF(N158="","",IF(AND(N158="수정",P158&lt;&gt;""),P158,K158))</f>
        <v/>
      </c>
      <c r="V158" s="28" t="str">
        <f aca="false">IF(N158="","",IF(N158="수정",IF(Q158&lt;&gt;"",Q158,IF(OR(U158="명시 없음",U158="유보",U158="절 아님"),"",L158)),L158))</f>
        <v/>
      </c>
    </row>
    <row r="159" customFormat="false" ht="15" hidden="false" customHeight="false" outlineLevel="0" collapsed="false">
      <c r="A159" s="24" t="s">
        <v>200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5"/>
      <c r="O159" s="25"/>
      <c r="P159" s="25"/>
      <c r="Q159" s="25"/>
      <c r="R159" s="25"/>
      <c r="S159" s="25"/>
      <c r="T159" s="28" t="str">
        <f aca="false">IF(N159="","",IF(AND(N159="수정",O159&lt;&gt;""),O159,J159))</f>
        <v/>
      </c>
      <c r="U159" s="28" t="str">
        <f aca="false">IF(N159="","",IF(AND(N159="수정",P159&lt;&gt;""),P159,K159))</f>
        <v/>
      </c>
      <c r="V159" s="28" t="str">
        <f aca="false">IF(N159="","",IF(N159="수정",IF(Q159&lt;&gt;"",Q159,IF(OR(U159="명시 없음",U159="유보",U159="절 아님"),"",L159)),L159))</f>
        <v/>
      </c>
    </row>
    <row r="160" customFormat="false" ht="15" hidden="false" customHeight="false" outlineLevel="0" collapsed="false">
      <c r="A160" s="24" t="s">
        <v>200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5"/>
      <c r="O160" s="25"/>
      <c r="P160" s="25"/>
      <c r="Q160" s="25"/>
      <c r="R160" s="25"/>
      <c r="S160" s="25"/>
      <c r="T160" s="28" t="str">
        <f aca="false">IF(N160="","",IF(AND(N160="수정",O160&lt;&gt;""),O160,J160))</f>
        <v/>
      </c>
      <c r="U160" s="28" t="str">
        <f aca="false">IF(N160="","",IF(AND(N160="수정",P160&lt;&gt;""),P160,K160))</f>
        <v/>
      </c>
      <c r="V160" s="28" t="str">
        <f aca="false">IF(N160="","",IF(N160="수정",IF(Q160&lt;&gt;"",Q160,IF(OR(U160="명시 없음",U160="유보",U160="절 아님"),"",L160)),L160))</f>
        <v/>
      </c>
    </row>
    <row r="161" customFormat="false" ht="15" hidden="false" customHeight="false" outlineLevel="0" collapsed="false">
      <c r="A161" s="24" t="s">
        <v>200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5"/>
      <c r="O161" s="25"/>
      <c r="P161" s="25"/>
      <c r="Q161" s="25"/>
      <c r="R161" s="25"/>
      <c r="S161" s="25"/>
      <c r="T161" s="28" t="str">
        <f aca="false">IF(N161="","",IF(AND(N161="수정",O161&lt;&gt;""),O161,J161))</f>
        <v/>
      </c>
      <c r="U161" s="28" t="str">
        <f aca="false">IF(N161="","",IF(AND(N161="수정",P161&lt;&gt;""),P161,K161))</f>
        <v/>
      </c>
      <c r="V161" s="28" t="str">
        <f aca="false">IF(N161="","",IF(N161="수정",IF(Q161&lt;&gt;"",Q161,IF(OR(U161="명시 없음",U161="유보",U161="절 아님"),"",L161)),L161))</f>
        <v/>
      </c>
    </row>
    <row r="162" customFormat="false" ht="15" hidden="false" customHeight="false" outlineLevel="0" collapsed="false">
      <c r="A162" s="24" t="s">
        <v>200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5"/>
      <c r="O162" s="25"/>
      <c r="P162" s="25"/>
      <c r="Q162" s="25"/>
      <c r="R162" s="25"/>
      <c r="S162" s="25"/>
      <c r="T162" s="28" t="str">
        <f aca="false">IF(N162="","",IF(AND(N162="수정",O162&lt;&gt;""),O162,J162))</f>
        <v/>
      </c>
      <c r="U162" s="28" t="str">
        <f aca="false">IF(N162="","",IF(AND(N162="수정",P162&lt;&gt;""),P162,K162))</f>
        <v/>
      </c>
      <c r="V162" s="28" t="str">
        <f aca="false">IF(N162="","",IF(N162="수정",IF(Q162&lt;&gt;"",Q162,IF(OR(U162="명시 없음",U162="유보",U162="절 아님"),"",L162)),L162))</f>
        <v/>
      </c>
    </row>
    <row r="163" customFormat="false" ht="15" hidden="false" customHeight="false" outlineLevel="0" collapsed="false">
      <c r="A163" s="24" t="s">
        <v>200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5"/>
      <c r="O163" s="25"/>
      <c r="P163" s="25"/>
      <c r="Q163" s="25"/>
      <c r="R163" s="25"/>
      <c r="S163" s="25"/>
      <c r="T163" s="28" t="str">
        <f aca="false">IF(N163="","",IF(AND(N163="수정",O163&lt;&gt;""),O163,J163))</f>
        <v/>
      </c>
      <c r="U163" s="28" t="str">
        <f aca="false">IF(N163="","",IF(AND(N163="수정",P163&lt;&gt;""),P163,K163))</f>
        <v/>
      </c>
      <c r="V163" s="28" t="str">
        <f aca="false">IF(N163="","",IF(N163="수정",IF(Q163&lt;&gt;"",Q163,IF(OR(U163="명시 없음",U163="유보",U163="절 아님"),"",L163)),L163))</f>
        <v/>
      </c>
    </row>
    <row r="164" customFormat="false" ht="15" hidden="false" customHeight="false" outlineLevel="0" collapsed="false">
      <c r="A164" s="24" t="s">
        <v>200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5"/>
      <c r="O164" s="25"/>
      <c r="P164" s="25"/>
      <c r="Q164" s="25"/>
      <c r="R164" s="25"/>
      <c r="S164" s="25"/>
      <c r="T164" s="28" t="str">
        <f aca="false">IF(N164="","",IF(AND(N164="수정",O164&lt;&gt;""),O164,J164))</f>
        <v/>
      </c>
      <c r="U164" s="28" t="str">
        <f aca="false">IF(N164="","",IF(AND(N164="수정",P164&lt;&gt;""),P164,K164))</f>
        <v/>
      </c>
      <c r="V164" s="28" t="str">
        <f aca="false">IF(N164="","",IF(N164="수정",IF(Q164&lt;&gt;"",Q164,IF(OR(U164="명시 없음",U164="유보",U164="절 아님"),"",L164)),L164))</f>
        <v/>
      </c>
    </row>
    <row r="165" customFormat="false" ht="15" hidden="false" customHeight="false" outlineLevel="0" collapsed="false">
      <c r="A165" s="24" t="s">
        <v>200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5"/>
      <c r="O165" s="25"/>
      <c r="P165" s="25"/>
      <c r="Q165" s="25"/>
      <c r="R165" s="25"/>
      <c r="S165" s="25"/>
      <c r="T165" s="28" t="str">
        <f aca="false">IF(N165="","",IF(AND(N165="수정",O165&lt;&gt;""),O165,J165))</f>
        <v/>
      </c>
      <c r="U165" s="28" t="str">
        <f aca="false">IF(N165="","",IF(AND(N165="수정",P165&lt;&gt;""),P165,K165))</f>
        <v/>
      </c>
      <c r="V165" s="28" t="str">
        <f aca="false">IF(N165="","",IF(N165="수정",IF(Q165&lt;&gt;"",Q165,IF(OR(U165="명시 없음",U165="유보",U165="절 아님"),"",L165)),L165))</f>
        <v/>
      </c>
    </row>
    <row r="166" customFormat="false" ht="15" hidden="false" customHeight="false" outlineLevel="0" collapsed="false">
      <c r="A166" s="24" t="s">
        <v>200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5"/>
      <c r="O166" s="25"/>
      <c r="P166" s="25"/>
      <c r="Q166" s="25"/>
      <c r="R166" s="25"/>
      <c r="S166" s="25"/>
      <c r="T166" s="28" t="str">
        <f aca="false">IF(N166="","",IF(AND(N166="수정",O166&lt;&gt;""),O166,J166))</f>
        <v/>
      </c>
      <c r="U166" s="28" t="str">
        <f aca="false">IF(N166="","",IF(AND(N166="수정",P166&lt;&gt;""),P166,K166))</f>
        <v/>
      </c>
      <c r="V166" s="28" t="str">
        <f aca="false">IF(N166="","",IF(N166="수정",IF(Q166&lt;&gt;"",Q166,IF(OR(U166="명시 없음",U166="유보",U166="절 아님"),"",L166)),L166))</f>
        <v/>
      </c>
    </row>
    <row r="167" customFormat="false" ht="15" hidden="false" customHeight="false" outlineLevel="0" collapsed="false">
      <c r="A167" s="24" t="s">
        <v>200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5"/>
      <c r="O167" s="25"/>
      <c r="P167" s="25"/>
      <c r="Q167" s="25"/>
      <c r="R167" s="25"/>
      <c r="S167" s="25"/>
      <c r="T167" s="28" t="str">
        <f aca="false">IF(N167="","",IF(AND(N167="수정",O167&lt;&gt;""),O167,J167))</f>
        <v/>
      </c>
      <c r="U167" s="28" t="str">
        <f aca="false">IF(N167="","",IF(AND(N167="수정",P167&lt;&gt;""),P167,K167))</f>
        <v/>
      </c>
      <c r="V167" s="28" t="str">
        <f aca="false">IF(N167="","",IF(N167="수정",IF(Q167&lt;&gt;"",Q167,IF(OR(U167="명시 없음",U167="유보",U167="절 아님"),"",L167)),L167))</f>
        <v/>
      </c>
    </row>
    <row r="168" customFormat="false" ht="15" hidden="false" customHeight="false" outlineLevel="0" collapsed="false">
      <c r="A168" s="24" t="s">
        <v>200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5"/>
      <c r="O168" s="25"/>
      <c r="P168" s="25"/>
      <c r="Q168" s="25"/>
      <c r="R168" s="25"/>
      <c r="S168" s="25"/>
      <c r="T168" s="28" t="str">
        <f aca="false">IF(N168="","",IF(AND(N168="수정",O168&lt;&gt;""),O168,J168))</f>
        <v/>
      </c>
      <c r="U168" s="28" t="str">
        <f aca="false">IF(N168="","",IF(AND(N168="수정",P168&lt;&gt;""),P168,K168))</f>
        <v/>
      </c>
      <c r="V168" s="28" t="str">
        <f aca="false">IF(N168="","",IF(N168="수정",IF(Q168&lt;&gt;"",Q168,IF(OR(U168="명시 없음",U168="유보",U168="절 아님"),"",L168)),L168))</f>
        <v/>
      </c>
    </row>
    <row r="169" customFormat="false" ht="15" hidden="false" customHeight="false" outlineLevel="0" collapsed="false">
      <c r="A169" s="24" t="s">
        <v>200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5"/>
      <c r="O169" s="25"/>
      <c r="P169" s="25"/>
      <c r="Q169" s="25"/>
      <c r="R169" s="25"/>
      <c r="S169" s="25"/>
      <c r="T169" s="28" t="str">
        <f aca="false">IF(N169="","",IF(AND(N169="수정",O169&lt;&gt;""),O169,J169))</f>
        <v/>
      </c>
      <c r="U169" s="28" t="str">
        <f aca="false">IF(N169="","",IF(AND(N169="수정",P169&lt;&gt;""),P169,K169))</f>
        <v/>
      </c>
      <c r="V169" s="28" t="str">
        <f aca="false">IF(N169="","",IF(N169="수정",IF(Q169&lt;&gt;"",Q169,IF(OR(U169="명시 없음",U169="유보",U169="절 아님"),"",L169)),L169))</f>
        <v/>
      </c>
    </row>
    <row r="170" customFormat="false" ht="15" hidden="false" customHeight="false" outlineLevel="0" collapsed="false">
      <c r="A170" s="24" t="s">
        <v>200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5"/>
      <c r="O170" s="25"/>
      <c r="P170" s="25"/>
      <c r="Q170" s="25"/>
      <c r="R170" s="25"/>
      <c r="S170" s="25"/>
      <c r="T170" s="28" t="str">
        <f aca="false">IF(N170="","",IF(AND(N170="수정",O170&lt;&gt;""),O170,J170))</f>
        <v/>
      </c>
      <c r="U170" s="28" t="str">
        <f aca="false">IF(N170="","",IF(AND(N170="수정",P170&lt;&gt;""),P170,K170))</f>
        <v/>
      </c>
      <c r="V170" s="28" t="str">
        <f aca="false">IF(N170="","",IF(N170="수정",IF(Q170&lt;&gt;"",Q170,IF(OR(U170="명시 없음",U170="유보",U170="절 아님"),"",L170)),L170))</f>
        <v/>
      </c>
    </row>
    <row r="171" customFormat="false" ht="15" hidden="false" customHeight="false" outlineLevel="0" collapsed="false">
      <c r="A171" s="24" t="s">
        <v>200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5"/>
      <c r="O171" s="25"/>
      <c r="P171" s="25"/>
      <c r="Q171" s="25"/>
      <c r="R171" s="25"/>
      <c r="S171" s="25"/>
      <c r="T171" s="28" t="str">
        <f aca="false">IF(N171="","",IF(AND(N171="수정",O171&lt;&gt;""),O171,J171))</f>
        <v/>
      </c>
      <c r="U171" s="28" t="str">
        <f aca="false">IF(N171="","",IF(AND(N171="수정",P171&lt;&gt;""),P171,K171))</f>
        <v/>
      </c>
      <c r="V171" s="28" t="str">
        <f aca="false">IF(N171="","",IF(N171="수정",IF(Q171&lt;&gt;"",Q171,IF(OR(U171="명시 없음",U171="유보",U171="절 아님"),"",L171)),L171))</f>
        <v/>
      </c>
    </row>
    <row r="172" customFormat="false" ht="15" hidden="false" customHeight="false" outlineLevel="0" collapsed="false">
      <c r="A172" s="24" t="s">
        <v>200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5"/>
      <c r="O172" s="25"/>
      <c r="P172" s="25"/>
      <c r="Q172" s="25"/>
      <c r="R172" s="25"/>
      <c r="S172" s="25"/>
      <c r="T172" s="28" t="str">
        <f aca="false">IF(N172="","",IF(AND(N172="수정",O172&lt;&gt;""),O172,J172))</f>
        <v/>
      </c>
      <c r="U172" s="28" t="str">
        <f aca="false">IF(N172="","",IF(AND(N172="수정",P172&lt;&gt;""),P172,K172))</f>
        <v/>
      </c>
      <c r="V172" s="28" t="str">
        <f aca="false">IF(N172="","",IF(N172="수정",IF(Q172&lt;&gt;"",Q172,IF(OR(U172="명시 없음",U172="유보",U172="절 아님"),"",L172)),L172))</f>
        <v/>
      </c>
    </row>
    <row r="173" customFormat="false" ht="15" hidden="false" customHeight="false" outlineLevel="0" collapsed="false">
      <c r="A173" s="24" t="s">
        <v>200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5"/>
      <c r="O173" s="25"/>
      <c r="P173" s="25"/>
      <c r="Q173" s="25"/>
      <c r="R173" s="25"/>
      <c r="S173" s="25"/>
      <c r="T173" s="28" t="str">
        <f aca="false">IF(N173="","",IF(AND(N173="수정",O173&lt;&gt;""),O173,J173))</f>
        <v/>
      </c>
      <c r="U173" s="28" t="str">
        <f aca="false">IF(N173="","",IF(AND(N173="수정",P173&lt;&gt;""),P173,K173))</f>
        <v/>
      </c>
      <c r="V173" s="28" t="str">
        <f aca="false">IF(N173="","",IF(N173="수정",IF(Q173&lt;&gt;"",Q173,IF(OR(U173="명시 없음",U173="유보",U173="절 아님"),"",L173)),L173))</f>
        <v/>
      </c>
    </row>
    <row r="174" customFormat="false" ht="15" hidden="false" customHeight="false" outlineLevel="0" collapsed="false">
      <c r="A174" s="24" t="s">
        <v>200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5"/>
      <c r="O174" s="25"/>
      <c r="P174" s="25"/>
      <c r="Q174" s="25"/>
      <c r="R174" s="25"/>
      <c r="S174" s="25"/>
      <c r="T174" s="28" t="str">
        <f aca="false">IF(N174="","",IF(AND(N174="수정",O174&lt;&gt;""),O174,J174))</f>
        <v/>
      </c>
      <c r="U174" s="28" t="str">
        <f aca="false">IF(N174="","",IF(AND(N174="수정",P174&lt;&gt;""),P174,K174))</f>
        <v/>
      </c>
      <c r="V174" s="28" t="str">
        <f aca="false">IF(N174="","",IF(N174="수정",IF(Q174&lt;&gt;"",Q174,IF(OR(U174="명시 없음",U174="유보",U174="절 아님"),"",L174)),L174))</f>
        <v/>
      </c>
    </row>
    <row r="175" customFormat="false" ht="15" hidden="false" customHeight="false" outlineLevel="0" collapsed="false">
      <c r="A175" s="24" t="s">
        <v>200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5"/>
      <c r="O175" s="25"/>
      <c r="P175" s="25"/>
      <c r="Q175" s="25"/>
      <c r="R175" s="25"/>
      <c r="S175" s="25"/>
      <c r="T175" s="28" t="str">
        <f aca="false">IF(N175="","",IF(AND(N175="수정",O175&lt;&gt;""),O175,J175))</f>
        <v/>
      </c>
      <c r="U175" s="28" t="str">
        <f aca="false">IF(N175="","",IF(AND(N175="수정",P175&lt;&gt;""),P175,K175))</f>
        <v/>
      </c>
      <c r="V175" s="28" t="str">
        <f aca="false">IF(N175="","",IF(N175="수정",IF(Q175&lt;&gt;"",Q175,IF(OR(U175="명시 없음",U175="유보",U175="절 아님"),"",L175)),L175))</f>
        <v/>
      </c>
    </row>
    <row r="176" customFormat="false" ht="15" hidden="false" customHeight="false" outlineLevel="0" collapsed="false">
      <c r="A176" s="24" t="s">
        <v>200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5"/>
      <c r="O176" s="25"/>
      <c r="P176" s="25"/>
      <c r="Q176" s="25"/>
      <c r="R176" s="25"/>
      <c r="S176" s="25"/>
      <c r="T176" s="28" t="str">
        <f aca="false">IF(N176="","",IF(AND(N176="수정",O176&lt;&gt;""),O176,J176))</f>
        <v/>
      </c>
      <c r="U176" s="28" t="str">
        <f aca="false">IF(N176="","",IF(AND(N176="수정",P176&lt;&gt;""),P176,K176))</f>
        <v/>
      </c>
      <c r="V176" s="28" t="str">
        <f aca="false">IF(N176="","",IF(N176="수정",IF(Q176&lt;&gt;"",Q176,IF(OR(U176="명시 없음",U176="유보",U176="절 아님"),"",L176)),L176))</f>
        <v/>
      </c>
    </row>
    <row r="177" customFormat="false" ht="15" hidden="false" customHeight="false" outlineLevel="0" collapsed="false">
      <c r="A177" s="24" t="s">
        <v>200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5"/>
      <c r="O177" s="25"/>
      <c r="P177" s="25"/>
      <c r="Q177" s="25"/>
      <c r="R177" s="25"/>
      <c r="S177" s="25"/>
      <c r="T177" s="28" t="str">
        <f aca="false">IF(N177="","",IF(AND(N177="수정",O177&lt;&gt;""),O177,J177))</f>
        <v/>
      </c>
      <c r="U177" s="28" t="str">
        <f aca="false">IF(N177="","",IF(AND(N177="수정",P177&lt;&gt;""),P177,K177))</f>
        <v/>
      </c>
      <c r="V177" s="28" t="str">
        <f aca="false">IF(N177="","",IF(N177="수정",IF(Q177&lt;&gt;"",Q177,IF(OR(U177="명시 없음",U177="유보",U177="절 아님"),"",L177)),L177))</f>
        <v/>
      </c>
    </row>
    <row r="178" customFormat="false" ht="15" hidden="false" customHeight="false" outlineLevel="0" collapsed="false">
      <c r="A178" s="24" t="s">
        <v>200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5"/>
      <c r="O178" s="25"/>
      <c r="P178" s="25"/>
      <c r="Q178" s="25"/>
      <c r="R178" s="25"/>
      <c r="S178" s="25"/>
      <c r="T178" s="28" t="str">
        <f aca="false">IF(N178="","",IF(AND(N178="수정",O178&lt;&gt;""),O178,J178))</f>
        <v/>
      </c>
      <c r="U178" s="28" t="str">
        <f aca="false">IF(N178="","",IF(AND(N178="수정",P178&lt;&gt;""),P178,K178))</f>
        <v/>
      </c>
      <c r="V178" s="28" t="str">
        <f aca="false">IF(N178="","",IF(N178="수정",IF(Q178&lt;&gt;"",Q178,IF(OR(U178="명시 없음",U178="유보",U178="절 아님"),"",L178)),L178))</f>
        <v/>
      </c>
    </row>
    <row r="179" customFormat="false" ht="15" hidden="false" customHeight="false" outlineLevel="0" collapsed="false">
      <c r="A179" s="24" t="s">
        <v>200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5"/>
      <c r="O179" s="25"/>
      <c r="P179" s="25"/>
      <c r="Q179" s="25"/>
      <c r="R179" s="25"/>
      <c r="S179" s="25"/>
      <c r="T179" s="28" t="str">
        <f aca="false">IF(N179="","",IF(AND(N179="수정",O179&lt;&gt;""),O179,J179))</f>
        <v/>
      </c>
      <c r="U179" s="28" t="str">
        <f aca="false">IF(N179="","",IF(AND(N179="수정",P179&lt;&gt;""),P179,K179))</f>
        <v/>
      </c>
      <c r="V179" s="28" t="str">
        <f aca="false">IF(N179="","",IF(N179="수정",IF(Q179&lt;&gt;"",Q179,IF(OR(U179="명시 없음",U179="유보",U179="절 아님"),"",L179)),L179))</f>
        <v/>
      </c>
    </row>
    <row r="180" customFormat="false" ht="15" hidden="false" customHeight="false" outlineLevel="0" collapsed="false">
      <c r="A180" s="24" t="s">
        <v>200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5"/>
      <c r="O180" s="25"/>
      <c r="P180" s="25"/>
      <c r="Q180" s="25"/>
      <c r="R180" s="25"/>
      <c r="S180" s="25"/>
      <c r="T180" s="28" t="str">
        <f aca="false">IF(N180="","",IF(AND(N180="수정",O180&lt;&gt;""),O180,J180))</f>
        <v/>
      </c>
      <c r="U180" s="28" t="str">
        <f aca="false">IF(N180="","",IF(AND(N180="수정",P180&lt;&gt;""),P180,K180))</f>
        <v/>
      </c>
      <c r="V180" s="28" t="str">
        <f aca="false">IF(N180="","",IF(N180="수정",IF(Q180&lt;&gt;"",Q180,IF(OR(U180="명시 없음",U180="유보",U180="절 아님"),"",L180)),L180))</f>
        <v/>
      </c>
    </row>
    <row r="181" customFormat="false" ht="15" hidden="false" customHeight="false" outlineLevel="0" collapsed="false">
      <c r="A181" s="24" t="s">
        <v>200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5"/>
      <c r="O181" s="25"/>
      <c r="P181" s="25"/>
      <c r="Q181" s="25"/>
      <c r="R181" s="25"/>
      <c r="S181" s="25"/>
      <c r="T181" s="28" t="str">
        <f aca="false">IF(N181="","",IF(AND(N181="수정",O181&lt;&gt;""),O181,J181))</f>
        <v/>
      </c>
      <c r="U181" s="28" t="str">
        <f aca="false">IF(N181="","",IF(AND(N181="수정",P181&lt;&gt;""),P181,K181))</f>
        <v/>
      </c>
      <c r="V181" s="28" t="str">
        <f aca="false">IF(N181="","",IF(N181="수정",IF(Q181&lt;&gt;"",Q181,IF(OR(U181="명시 없음",U181="유보",U181="절 아님"),"",L181)),L181))</f>
        <v/>
      </c>
    </row>
    <row r="182" customFormat="false" ht="15" hidden="false" customHeight="false" outlineLevel="0" collapsed="false">
      <c r="A182" s="24" t="s">
        <v>200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5"/>
      <c r="O182" s="25"/>
      <c r="P182" s="25"/>
      <c r="Q182" s="25"/>
      <c r="R182" s="25"/>
      <c r="S182" s="25"/>
      <c r="T182" s="28" t="str">
        <f aca="false">IF(N182="","",IF(AND(N182="수정",O182&lt;&gt;""),O182,J182))</f>
        <v/>
      </c>
      <c r="U182" s="28" t="str">
        <f aca="false">IF(N182="","",IF(AND(N182="수정",P182&lt;&gt;""),P182,K182))</f>
        <v/>
      </c>
      <c r="V182" s="28" t="str">
        <f aca="false">IF(N182="","",IF(N182="수정",IF(Q182&lt;&gt;"",Q182,IF(OR(U182="명시 없음",U182="유보",U182="절 아님"),"",L182)),L182))</f>
        <v/>
      </c>
    </row>
    <row r="183" customFormat="false" ht="15" hidden="false" customHeight="false" outlineLevel="0" collapsed="false">
      <c r="A183" s="24" t="s">
        <v>200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5"/>
      <c r="O183" s="25"/>
      <c r="P183" s="25"/>
      <c r="Q183" s="25"/>
      <c r="R183" s="25"/>
      <c r="S183" s="25"/>
      <c r="T183" s="28" t="str">
        <f aca="false">IF(N183="","",IF(AND(N183="수정",O183&lt;&gt;""),O183,J183))</f>
        <v/>
      </c>
      <c r="U183" s="28" t="str">
        <f aca="false">IF(N183="","",IF(AND(N183="수정",P183&lt;&gt;""),P183,K183))</f>
        <v/>
      </c>
      <c r="V183" s="28" t="str">
        <f aca="false">IF(N183="","",IF(N183="수정",IF(Q183&lt;&gt;"",Q183,IF(OR(U183="명시 없음",U183="유보",U183="절 아님"),"",L183)),L183))</f>
        <v/>
      </c>
    </row>
    <row r="184" customFormat="false" ht="15" hidden="false" customHeight="false" outlineLevel="0" collapsed="false">
      <c r="A184" s="24" t="s">
        <v>200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5"/>
      <c r="O184" s="25"/>
      <c r="P184" s="25"/>
      <c r="Q184" s="25"/>
      <c r="R184" s="25"/>
      <c r="S184" s="25"/>
      <c r="T184" s="28" t="str">
        <f aca="false">IF(N184="","",IF(AND(N184="수정",O184&lt;&gt;""),O184,J184))</f>
        <v/>
      </c>
      <c r="U184" s="28" t="str">
        <f aca="false">IF(N184="","",IF(AND(N184="수정",P184&lt;&gt;""),P184,K184))</f>
        <v/>
      </c>
      <c r="V184" s="28" t="str">
        <f aca="false">IF(N184="","",IF(N184="수정",IF(Q184&lt;&gt;"",Q184,IF(OR(U184="명시 없음",U184="유보",U184="절 아님"),"",L184)),L184))</f>
        <v/>
      </c>
    </row>
    <row r="185" customFormat="false" ht="15" hidden="false" customHeight="false" outlineLevel="0" collapsed="false">
      <c r="A185" s="24" t="s">
        <v>200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5"/>
      <c r="O185" s="25"/>
      <c r="P185" s="25"/>
      <c r="Q185" s="25"/>
      <c r="R185" s="25"/>
      <c r="S185" s="25"/>
      <c r="T185" s="28" t="str">
        <f aca="false">IF(N185="","",IF(AND(N185="수정",O185&lt;&gt;""),O185,J185))</f>
        <v/>
      </c>
      <c r="U185" s="28" t="str">
        <f aca="false">IF(N185="","",IF(AND(N185="수정",P185&lt;&gt;""),P185,K185))</f>
        <v/>
      </c>
      <c r="V185" s="28" t="str">
        <f aca="false">IF(N185="","",IF(N185="수정",IF(Q185&lt;&gt;"",Q185,IF(OR(U185="명시 없음",U185="유보",U185="절 아님"),"",L185)),L185))</f>
        <v/>
      </c>
    </row>
    <row r="186" customFormat="false" ht="15" hidden="false" customHeight="false" outlineLevel="0" collapsed="false">
      <c r="A186" s="24" t="s">
        <v>200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5"/>
      <c r="O186" s="25"/>
      <c r="P186" s="25"/>
      <c r="Q186" s="25"/>
      <c r="R186" s="25"/>
      <c r="S186" s="25"/>
      <c r="T186" s="28" t="str">
        <f aca="false">IF(N186="","",IF(AND(N186="수정",O186&lt;&gt;""),O186,J186))</f>
        <v/>
      </c>
      <c r="U186" s="28" t="str">
        <f aca="false">IF(N186="","",IF(AND(N186="수정",P186&lt;&gt;""),P186,K186))</f>
        <v/>
      </c>
      <c r="V186" s="28" t="str">
        <f aca="false">IF(N186="","",IF(N186="수정",IF(Q186&lt;&gt;"",Q186,IF(OR(U186="명시 없음",U186="유보",U186="절 아님"),"",L186)),L186))</f>
        <v/>
      </c>
    </row>
    <row r="187" customFormat="false" ht="15" hidden="false" customHeight="false" outlineLevel="0" collapsed="false">
      <c r="A187" s="24" t="s">
        <v>200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5"/>
      <c r="O187" s="25"/>
      <c r="P187" s="25"/>
      <c r="Q187" s="25"/>
      <c r="R187" s="25"/>
      <c r="S187" s="25"/>
      <c r="T187" s="28" t="str">
        <f aca="false">IF(N187="","",IF(AND(N187="수정",O187&lt;&gt;""),O187,J187))</f>
        <v/>
      </c>
      <c r="U187" s="28" t="str">
        <f aca="false">IF(N187="","",IF(AND(N187="수정",P187&lt;&gt;""),P187,K187))</f>
        <v/>
      </c>
      <c r="V187" s="28" t="str">
        <f aca="false">IF(N187="","",IF(N187="수정",IF(Q187&lt;&gt;"",Q187,IF(OR(U187="명시 없음",U187="유보",U187="절 아님"),"",L187)),L187))</f>
        <v/>
      </c>
    </row>
    <row r="188" customFormat="false" ht="15" hidden="false" customHeight="false" outlineLevel="0" collapsed="false">
      <c r="A188" s="24" t="s">
        <v>200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5"/>
      <c r="O188" s="25"/>
      <c r="P188" s="25"/>
      <c r="Q188" s="25"/>
      <c r="R188" s="25"/>
      <c r="S188" s="25"/>
      <c r="T188" s="28" t="str">
        <f aca="false">IF(N188="","",IF(AND(N188="수정",O188&lt;&gt;""),O188,J188))</f>
        <v/>
      </c>
      <c r="U188" s="28" t="str">
        <f aca="false">IF(N188="","",IF(AND(N188="수정",P188&lt;&gt;""),P188,K188))</f>
        <v/>
      </c>
      <c r="V188" s="28" t="str">
        <f aca="false">IF(N188="","",IF(N188="수정",IF(Q188&lt;&gt;"",Q188,IF(OR(U188="명시 없음",U188="유보",U188="절 아님"),"",L188)),L188))</f>
        <v/>
      </c>
    </row>
    <row r="189" customFormat="false" ht="15" hidden="false" customHeight="false" outlineLevel="0" collapsed="false">
      <c r="A189" s="24" t="s">
        <v>200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5"/>
      <c r="O189" s="25"/>
      <c r="P189" s="25"/>
      <c r="Q189" s="25"/>
      <c r="R189" s="25"/>
      <c r="S189" s="25"/>
      <c r="T189" s="28" t="str">
        <f aca="false">IF(N189="","",IF(AND(N189="수정",O189&lt;&gt;""),O189,J189))</f>
        <v/>
      </c>
      <c r="U189" s="28" t="str">
        <f aca="false">IF(N189="","",IF(AND(N189="수정",P189&lt;&gt;""),P189,K189))</f>
        <v/>
      </c>
      <c r="V189" s="28" t="str">
        <f aca="false">IF(N189="","",IF(N189="수정",IF(Q189&lt;&gt;"",Q189,IF(OR(U189="명시 없음",U189="유보",U189="절 아님"),"",L189)),L189))</f>
        <v/>
      </c>
    </row>
    <row r="190" customFormat="false" ht="15" hidden="false" customHeight="false" outlineLevel="0" collapsed="false">
      <c r="A190" s="24" t="s">
        <v>200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5"/>
      <c r="O190" s="25"/>
      <c r="P190" s="25"/>
      <c r="Q190" s="25"/>
      <c r="R190" s="25"/>
      <c r="S190" s="25"/>
      <c r="T190" s="28" t="str">
        <f aca="false">IF(N190="","",IF(AND(N190="수정",O190&lt;&gt;""),O190,J190))</f>
        <v/>
      </c>
      <c r="U190" s="28" t="str">
        <f aca="false">IF(N190="","",IF(AND(N190="수정",P190&lt;&gt;""),P190,K190))</f>
        <v/>
      </c>
      <c r="V190" s="28" t="str">
        <f aca="false">IF(N190="","",IF(N190="수정",IF(Q190&lt;&gt;"",Q190,IF(OR(U190="명시 없음",U190="유보",U190="절 아님"),"",L190)),L190))</f>
        <v/>
      </c>
    </row>
    <row r="191" customFormat="false" ht="15" hidden="false" customHeight="false" outlineLevel="0" collapsed="false">
      <c r="A191" s="24" t="s">
        <v>200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5"/>
      <c r="O191" s="25"/>
      <c r="P191" s="25"/>
      <c r="Q191" s="25"/>
      <c r="R191" s="25"/>
      <c r="S191" s="25"/>
      <c r="T191" s="28" t="str">
        <f aca="false">IF(N191="","",IF(AND(N191="수정",O191&lt;&gt;""),O191,J191))</f>
        <v/>
      </c>
      <c r="U191" s="28" t="str">
        <f aca="false">IF(N191="","",IF(AND(N191="수정",P191&lt;&gt;""),P191,K191))</f>
        <v/>
      </c>
      <c r="V191" s="28" t="str">
        <f aca="false">IF(N191="","",IF(N191="수정",IF(Q191&lt;&gt;"",Q191,IF(OR(U191="명시 없음",U191="유보",U191="절 아님"),"",L191)),L191))</f>
        <v/>
      </c>
    </row>
    <row r="192" customFormat="false" ht="15" hidden="false" customHeight="false" outlineLevel="0" collapsed="false">
      <c r="A192" s="24" t="s">
        <v>200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5"/>
      <c r="O192" s="25"/>
      <c r="P192" s="25"/>
      <c r="Q192" s="25"/>
      <c r="R192" s="25"/>
      <c r="S192" s="25"/>
      <c r="T192" s="28" t="str">
        <f aca="false">IF(N192="","",IF(AND(N192="수정",O192&lt;&gt;""),O192,J192))</f>
        <v/>
      </c>
      <c r="U192" s="28" t="str">
        <f aca="false">IF(N192="","",IF(AND(N192="수정",P192&lt;&gt;""),P192,K192))</f>
        <v/>
      </c>
      <c r="V192" s="28" t="str">
        <f aca="false">IF(N192="","",IF(N192="수정",IF(Q192&lt;&gt;"",Q192,IF(OR(U192="명시 없음",U192="유보",U192="절 아님"),"",L192)),L192))</f>
        <v/>
      </c>
    </row>
    <row r="193" customFormat="false" ht="15" hidden="false" customHeight="false" outlineLevel="0" collapsed="false">
      <c r="A193" s="24" t="s">
        <v>200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5"/>
      <c r="O193" s="25"/>
      <c r="P193" s="25"/>
      <c r="Q193" s="25"/>
      <c r="R193" s="25"/>
      <c r="S193" s="25"/>
      <c r="T193" s="28" t="str">
        <f aca="false">IF(N193="","",IF(AND(N193="수정",O193&lt;&gt;""),O193,J193))</f>
        <v/>
      </c>
      <c r="U193" s="28" t="str">
        <f aca="false">IF(N193="","",IF(AND(N193="수정",P193&lt;&gt;""),P193,K193))</f>
        <v/>
      </c>
      <c r="V193" s="28" t="str">
        <f aca="false">IF(N193="","",IF(N193="수정",IF(Q193&lt;&gt;"",Q193,IF(OR(U193="명시 없음",U193="유보",U193="절 아님"),"",L193)),L193))</f>
        <v/>
      </c>
    </row>
    <row r="194" customFormat="false" ht="15" hidden="false" customHeight="false" outlineLevel="0" collapsed="false">
      <c r="A194" s="24" t="s">
        <v>200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5"/>
      <c r="O194" s="25"/>
      <c r="P194" s="25"/>
      <c r="Q194" s="25"/>
      <c r="R194" s="25"/>
      <c r="S194" s="25"/>
      <c r="T194" s="28" t="str">
        <f aca="false">IF(N194="","",IF(AND(N194="수정",O194&lt;&gt;""),O194,J194))</f>
        <v/>
      </c>
      <c r="U194" s="28" t="str">
        <f aca="false">IF(N194="","",IF(AND(N194="수정",P194&lt;&gt;""),P194,K194))</f>
        <v/>
      </c>
      <c r="V194" s="28" t="str">
        <f aca="false">IF(N194="","",IF(N194="수정",IF(Q194&lt;&gt;"",Q194,IF(OR(U194="명시 없음",U194="유보",U194="절 아님"),"",L194)),L194))</f>
        <v/>
      </c>
    </row>
    <row r="195" customFormat="false" ht="15" hidden="false" customHeight="false" outlineLevel="0" collapsed="false">
      <c r="A195" s="24" t="s">
        <v>200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5"/>
      <c r="O195" s="25"/>
      <c r="P195" s="25"/>
      <c r="Q195" s="25"/>
      <c r="R195" s="25"/>
      <c r="S195" s="25"/>
      <c r="T195" s="28" t="str">
        <f aca="false">IF(N195="","",IF(AND(N195="수정",O195&lt;&gt;""),O195,J195))</f>
        <v/>
      </c>
      <c r="U195" s="28" t="str">
        <f aca="false">IF(N195="","",IF(AND(N195="수정",P195&lt;&gt;""),P195,K195))</f>
        <v/>
      </c>
      <c r="V195" s="28" t="str">
        <f aca="false">IF(N195="","",IF(N195="수정",IF(Q195&lt;&gt;"",Q195,IF(OR(U195="명시 없음",U195="유보",U195="절 아님"),"",L195)),L195))</f>
        <v/>
      </c>
    </row>
    <row r="196" customFormat="false" ht="15" hidden="false" customHeight="false" outlineLevel="0" collapsed="false">
      <c r="A196" s="24" t="s">
        <v>200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5"/>
      <c r="O196" s="25"/>
      <c r="P196" s="25"/>
      <c r="Q196" s="25"/>
      <c r="R196" s="25"/>
      <c r="S196" s="25"/>
      <c r="T196" s="28" t="str">
        <f aca="false">IF(N196="","",IF(AND(N196="수정",O196&lt;&gt;""),O196,J196))</f>
        <v/>
      </c>
      <c r="U196" s="28" t="str">
        <f aca="false">IF(N196="","",IF(AND(N196="수정",P196&lt;&gt;""),P196,K196))</f>
        <v/>
      </c>
      <c r="V196" s="28" t="str">
        <f aca="false">IF(N196="","",IF(N196="수정",IF(Q196&lt;&gt;"",Q196,IF(OR(U196="명시 없음",U196="유보",U196="절 아님"),"",L196)),L196))</f>
        <v/>
      </c>
    </row>
    <row r="197" customFormat="false" ht="15" hidden="false" customHeight="false" outlineLevel="0" collapsed="false">
      <c r="A197" s="24" t="s">
        <v>200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5"/>
      <c r="O197" s="25"/>
      <c r="P197" s="25"/>
      <c r="Q197" s="25"/>
      <c r="R197" s="25"/>
      <c r="S197" s="25"/>
      <c r="T197" s="28" t="str">
        <f aca="false">IF(N197="","",IF(AND(N197="수정",O197&lt;&gt;""),O197,J197))</f>
        <v/>
      </c>
      <c r="U197" s="28" t="str">
        <f aca="false">IF(N197="","",IF(AND(N197="수정",P197&lt;&gt;""),P197,K197))</f>
        <v/>
      </c>
      <c r="V197" s="28" t="str">
        <f aca="false">IF(N197="","",IF(N197="수정",IF(Q197&lt;&gt;"",Q197,IF(OR(U197="명시 없음",U197="유보",U197="절 아님"),"",L197)),L197))</f>
        <v/>
      </c>
    </row>
    <row r="198" customFormat="false" ht="15" hidden="false" customHeight="false" outlineLevel="0" collapsed="false">
      <c r="A198" s="24" t="s">
        <v>200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5"/>
      <c r="O198" s="25"/>
      <c r="P198" s="25"/>
      <c r="Q198" s="25"/>
      <c r="R198" s="25"/>
      <c r="S198" s="25"/>
      <c r="T198" s="28" t="str">
        <f aca="false">IF(N198="","",IF(AND(N198="수정",O198&lt;&gt;""),O198,J198))</f>
        <v/>
      </c>
      <c r="U198" s="28" t="str">
        <f aca="false">IF(N198="","",IF(AND(N198="수정",P198&lt;&gt;""),P198,K198))</f>
        <v/>
      </c>
      <c r="V198" s="28" t="str">
        <f aca="false">IF(N198="","",IF(N198="수정",IF(Q198&lt;&gt;"",Q198,IF(OR(U198="명시 없음",U198="유보",U198="절 아님"),"",L198)),L198))</f>
        <v/>
      </c>
    </row>
    <row r="199" customFormat="false" ht="15" hidden="false" customHeight="false" outlineLevel="0" collapsed="false">
      <c r="A199" s="24" t="s">
        <v>200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5"/>
      <c r="O199" s="25"/>
      <c r="P199" s="25"/>
      <c r="Q199" s="25"/>
      <c r="R199" s="25"/>
      <c r="S199" s="25"/>
      <c r="T199" s="28" t="str">
        <f aca="false">IF(N199="","",IF(AND(N199="수정",O199&lt;&gt;""),O199,J199))</f>
        <v/>
      </c>
      <c r="U199" s="28" t="str">
        <f aca="false">IF(N199="","",IF(AND(N199="수정",P199&lt;&gt;""),P199,K199))</f>
        <v/>
      </c>
      <c r="V199" s="28" t="str">
        <f aca="false">IF(N199="","",IF(N199="수정",IF(Q199&lt;&gt;"",Q199,IF(OR(U199="명시 없음",U199="유보",U199="절 아님"),"",L199)),L199))</f>
        <v/>
      </c>
    </row>
    <row r="200" customFormat="false" ht="15" hidden="false" customHeight="false" outlineLevel="0" collapsed="false">
      <c r="A200" s="24" t="s">
        <v>200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5"/>
      <c r="O200" s="25"/>
      <c r="P200" s="25"/>
      <c r="Q200" s="25"/>
      <c r="R200" s="25"/>
      <c r="S200" s="25"/>
      <c r="T200" s="28" t="str">
        <f aca="false">IF(N200="","",IF(AND(N200="수정",O200&lt;&gt;""),O200,J200))</f>
        <v/>
      </c>
      <c r="U200" s="28" t="str">
        <f aca="false">IF(N200="","",IF(AND(N200="수정",P200&lt;&gt;""),P200,K200))</f>
        <v/>
      </c>
      <c r="V200" s="28" t="str">
        <f aca="false">IF(N200="","",IF(N200="수정",IF(Q200&lt;&gt;"",Q200,IF(OR(U200="명시 없음",U200="유보",U200="절 아님"),"",L200)),L200))</f>
        <v/>
      </c>
    </row>
    <row r="201" customFormat="false" ht="15" hidden="false" customHeight="false" outlineLevel="0" collapsed="false">
      <c r="A201" s="24" t="s">
        <v>200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5"/>
      <c r="O201" s="25"/>
      <c r="P201" s="25"/>
      <c r="Q201" s="25"/>
      <c r="R201" s="25"/>
      <c r="S201" s="25"/>
      <c r="T201" s="28" t="str">
        <f aca="false">IF(N201="","",IF(AND(N201="수정",O201&lt;&gt;""),O201,J201))</f>
        <v/>
      </c>
      <c r="U201" s="28" t="str">
        <f aca="false">IF(N201="","",IF(AND(N201="수정",P201&lt;&gt;""),P201,K201))</f>
        <v/>
      </c>
      <c r="V201" s="28" t="str">
        <f aca="false">IF(N201="","",IF(N201="수정",IF(Q201&lt;&gt;"",Q201,IF(OR(U201="명시 없음",U201="유보",U201="절 아님"),"",L201)),L201))</f>
        <v/>
      </c>
    </row>
    <row r="202" customFormat="false" ht="15" hidden="false" customHeight="false" outlineLevel="0" collapsed="false">
      <c r="A202" s="24" t="s">
        <v>200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5"/>
      <c r="O202" s="25"/>
      <c r="P202" s="25"/>
      <c r="Q202" s="25"/>
      <c r="R202" s="25"/>
      <c r="S202" s="25"/>
      <c r="T202" s="28" t="str">
        <f aca="false">IF(N202="","",IF(AND(N202="수정",O202&lt;&gt;""),O202,J202))</f>
        <v/>
      </c>
      <c r="U202" s="28" t="str">
        <f aca="false">IF(N202="","",IF(AND(N202="수정",P202&lt;&gt;""),P202,K202))</f>
        <v/>
      </c>
      <c r="V202" s="28" t="str">
        <f aca="false">IF(N202="","",IF(N202="수정",IF(Q202&lt;&gt;"",Q202,IF(OR(U202="명시 없음",U202="유보",U202="절 아님"),"",L202)),L202))</f>
        <v/>
      </c>
    </row>
    <row r="203" customFormat="false" ht="15" hidden="false" customHeight="false" outlineLevel="0" collapsed="false">
      <c r="A203" s="24" t="s">
        <v>200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5"/>
      <c r="O203" s="25"/>
      <c r="P203" s="25"/>
      <c r="Q203" s="25"/>
      <c r="R203" s="25"/>
      <c r="S203" s="25"/>
      <c r="T203" s="28" t="str">
        <f aca="false">IF(N203="","",IF(AND(N203="수정",O203&lt;&gt;""),O203,J203))</f>
        <v/>
      </c>
      <c r="U203" s="28" t="str">
        <f aca="false">IF(N203="","",IF(AND(N203="수정",P203&lt;&gt;""),P203,K203))</f>
        <v/>
      </c>
      <c r="V203" s="28" t="str">
        <f aca="false">IF(N203="","",IF(N203="수정",IF(Q203&lt;&gt;"",Q203,IF(OR(U203="명시 없음",U203="유보",U203="절 아님"),"",L203)),L203))</f>
        <v/>
      </c>
    </row>
    <row r="204" customFormat="false" ht="15" hidden="false" customHeight="false" outlineLevel="0" collapsed="false">
      <c r="A204" s="24" t="s">
        <v>200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5"/>
      <c r="O204" s="25"/>
      <c r="P204" s="25"/>
      <c r="Q204" s="25"/>
      <c r="R204" s="25"/>
      <c r="S204" s="25"/>
      <c r="T204" s="28" t="str">
        <f aca="false">IF(N204="","",IF(AND(N204="수정",O204&lt;&gt;""),O204,J204))</f>
        <v/>
      </c>
      <c r="U204" s="28" t="str">
        <f aca="false">IF(N204="","",IF(AND(N204="수정",P204&lt;&gt;""),P204,K204))</f>
        <v/>
      </c>
      <c r="V204" s="28" t="str">
        <f aca="false">IF(N204="","",IF(N204="수정",IF(Q204&lt;&gt;"",Q204,IF(OR(U204="명시 없음",U204="유보",U204="절 아님"),"",L204)),L204))</f>
        <v/>
      </c>
    </row>
    <row r="205" customFormat="false" ht="15" hidden="false" customHeight="false" outlineLevel="0" collapsed="false">
      <c r="A205" s="24" t="s">
        <v>200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5"/>
      <c r="O205" s="25"/>
      <c r="P205" s="25"/>
      <c r="Q205" s="25"/>
      <c r="R205" s="25"/>
      <c r="S205" s="25"/>
      <c r="T205" s="28" t="str">
        <f aca="false">IF(N205="","",IF(AND(N205="수정",O205&lt;&gt;""),O205,J205))</f>
        <v/>
      </c>
      <c r="U205" s="28" t="str">
        <f aca="false">IF(N205="","",IF(AND(N205="수정",P205&lt;&gt;""),P205,K205))</f>
        <v/>
      </c>
      <c r="V205" s="28" t="str">
        <f aca="false">IF(N205="","",IF(N205="수정",IF(Q205&lt;&gt;"",Q205,IF(OR(U205="명시 없음",U205="유보",U205="절 아님"),"",L205)),L205))</f>
        <v/>
      </c>
    </row>
    <row r="206" customFormat="false" ht="15" hidden="false" customHeight="false" outlineLevel="0" collapsed="false">
      <c r="A206" s="24" t="s">
        <v>200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5"/>
      <c r="O206" s="25"/>
      <c r="P206" s="25"/>
      <c r="Q206" s="25"/>
      <c r="R206" s="25"/>
      <c r="S206" s="25"/>
      <c r="T206" s="28" t="str">
        <f aca="false">IF(N206="","",IF(AND(N206="수정",O206&lt;&gt;""),O206,J206))</f>
        <v/>
      </c>
      <c r="U206" s="28" t="str">
        <f aca="false">IF(N206="","",IF(AND(N206="수정",P206&lt;&gt;""),P206,K206))</f>
        <v/>
      </c>
      <c r="V206" s="28" t="str">
        <f aca="false">IF(N206="","",IF(N206="수정",IF(Q206&lt;&gt;"",Q206,IF(OR(U206="명시 없음",U206="유보",U206="절 아님"),"",L206)),L206))</f>
        <v/>
      </c>
    </row>
    <row r="207" customFormat="false" ht="15" hidden="false" customHeight="false" outlineLevel="0" collapsed="false">
      <c r="A207" s="24" t="s">
        <v>200</v>
      </c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5"/>
      <c r="O207" s="25"/>
      <c r="P207" s="25"/>
      <c r="Q207" s="25"/>
      <c r="R207" s="25"/>
      <c r="S207" s="25"/>
      <c r="T207" s="28" t="str">
        <f aca="false">IF(N207="","",IF(AND(N207="수정",O207&lt;&gt;""),O207,J207))</f>
        <v/>
      </c>
      <c r="U207" s="28" t="str">
        <f aca="false">IF(N207="","",IF(AND(N207="수정",P207&lt;&gt;""),P207,K207))</f>
        <v/>
      </c>
      <c r="V207" s="28" t="str">
        <f aca="false">IF(N207="","",IF(N207="수정",IF(Q207&lt;&gt;"",Q207,IF(OR(U207="명시 없음",U207="유보",U207="절 아님"),"",L207)),L207))</f>
        <v/>
      </c>
    </row>
    <row r="208" customFormat="false" ht="15" hidden="false" customHeight="false" outlineLevel="0" collapsed="false">
      <c r="A208" s="24" t="s">
        <v>200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5"/>
      <c r="O208" s="25"/>
      <c r="P208" s="25"/>
      <c r="Q208" s="25"/>
      <c r="R208" s="25"/>
      <c r="S208" s="25"/>
      <c r="T208" s="28" t="str">
        <f aca="false">IF(N208="","",IF(AND(N208="수정",O208&lt;&gt;""),O208,J208))</f>
        <v/>
      </c>
      <c r="U208" s="28" t="str">
        <f aca="false">IF(N208="","",IF(AND(N208="수정",P208&lt;&gt;""),P208,K208))</f>
        <v/>
      </c>
      <c r="V208" s="28" t="str">
        <f aca="false">IF(N208="","",IF(N208="수정",IF(Q208&lt;&gt;"",Q208,IF(OR(U208="명시 없음",U208="유보",U208="절 아님"),"",L208)),L208))</f>
        <v/>
      </c>
    </row>
    <row r="209" customFormat="false" ht="15" hidden="false" customHeight="false" outlineLevel="0" collapsed="false">
      <c r="A209" s="24" t="s">
        <v>200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5"/>
      <c r="O209" s="25"/>
      <c r="P209" s="25"/>
      <c r="Q209" s="25"/>
      <c r="R209" s="25"/>
      <c r="S209" s="25"/>
      <c r="T209" s="28" t="str">
        <f aca="false">IF(N209="","",IF(AND(N209="수정",O209&lt;&gt;""),O209,J209))</f>
        <v/>
      </c>
      <c r="U209" s="28" t="str">
        <f aca="false">IF(N209="","",IF(AND(N209="수정",P209&lt;&gt;""),P209,K209))</f>
        <v/>
      </c>
      <c r="V209" s="28" t="str">
        <f aca="false">IF(N209="","",IF(N209="수정",IF(Q209&lt;&gt;"",Q209,IF(OR(U209="명시 없음",U209="유보",U209="절 아님"),"",L209)),L209))</f>
        <v/>
      </c>
    </row>
    <row r="210" customFormat="false" ht="15" hidden="false" customHeight="false" outlineLevel="0" collapsed="false">
      <c r="A210" s="24" t="s">
        <v>200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5"/>
      <c r="O210" s="25"/>
      <c r="P210" s="25"/>
      <c r="Q210" s="25"/>
      <c r="R210" s="25"/>
      <c r="S210" s="25"/>
      <c r="T210" s="28" t="str">
        <f aca="false">IF(N210="","",IF(AND(N210="수정",O210&lt;&gt;""),O210,J210))</f>
        <v/>
      </c>
      <c r="U210" s="28" t="str">
        <f aca="false">IF(N210="","",IF(AND(N210="수정",P210&lt;&gt;""),P210,K210))</f>
        <v/>
      </c>
      <c r="V210" s="28" t="str">
        <f aca="false">IF(N210="","",IF(N210="수정",IF(Q210&lt;&gt;"",Q210,IF(OR(U210="명시 없음",U210="유보",U210="절 아님"),"",L210)),L210))</f>
        <v/>
      </c>
    </row>
    <row r="211" customFormat="false" ht="15" hidden="false" customHeight="false" outlineLevel="0" collapsed="false">
      <c r="A211" s="24" t="s">
        <v>200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5"/>
      <c r="O211" s="25"/>
      <c r="P211" s="25"/>
      <c r="Q211" s="25"/>
      <c r="R211" s="25"/>
      <c r="S211" s="25"/>
      <c r="T211" s="28" t="str">
        <f aca="false">IF(N211="","",IF(AND(N211="수정",O211&lt;&gt;""),O211,J211))</f>
        <v/>
      </c>
      <c r="U211" s="28" t="str">
        <f aca="false">IF(N211="","",IF(AND(N211="수정",P211&lt;&gt;""),P211,K211))</f>
        <v/>
      </c>
      <c r="V211" s="28" t="str">
        <f aca="false">IF(N211="","",IF(N211="수정",IF(Q211&lt;&gt;"",Q211,IF(OR(U211="명시 없음",U211="유보",U211="절 아님"),"",L211)),L211))</f>
        <v/>
      </c>
    </row>
    <row r="212" customFormat="false" ht="15" hidden="false" customHeight="false" outlineLevel="0" collapsed="false">
      <c r="A212" s="24" t="s">
        <v>200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5"/>
      <c r="O212" s="25"/>
      <c r="P212" s="25"/>
      <c r="Q212" s="25"/>
      <c r="R212" s="25"/>
      <c r="S212" s="25"/>
      <c r="T212" s="28" t="str">
        <f aca="false">IF(N212="","",IF(AND(N212="수정",O212&lt;&gt;""),O212,J212))</f>
        <v/>
      </c>
      <c r="U212" s="28" t="str">
        <f aca="false">IF(N212="","",IF(AND(N212="수정",P212&lt;&gt;""),P212,K212))</f>
        <v/>
      </c>
      <c r="V212" s="28" t="str">
        <f aca="false">IF(N212="","",IF(N212="수정",IF(Q212&lt;&gt;"",Q212,IF(OR(U212="명시 없음",U212="유보",U212="절 아님"),"",L212)),L212))</f>
        <v/>
      </c>
    </row>
    <row r="213" customFormat="false" ht="15" hidden="false" customHeight="false" outlineLevel="0" collapsed="false">
      <c r="A213" s="24" t="s">
        <v>200</v>
      </c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5"/>
      <c r="O213" s="25"/>
      <c r="P213" s="25"/>
      <c r="Q213" s="25"/>
      <c r="R213" s="25"/>
      <c r="S213" s="25"/>
      <c r="T213" s="28" t="str">
        <f aca="false">IF(N213="","",IF(AND(N213="수정",O213&lt;&gt;""),O213,J213))</f>
        <v/>
      </c>
      <c r="U213" s="28" t="str">
        <f aca="false">IF(N213="","",IF(AND(N213="수정",P213&lt;&gt;""),P213,K213))</f>
        <v/>
      </c>
      <c r="V213" s="28" t="str">
        <f aca="false">IF(N213="","",IF(N213="수정",IF(Q213&lt;&gt;"",Q213,IF(OR(U213="명시 없음",U213="유보",U213="절 아님"),"",L213)),L213))</f>
        <v/>
      </c>
    </row>
    <row r="214" customFormat="false" ht="15" hidden="false" customHeight="false" outlineLevel="0" collapsed="false">
      <c r="A214" s="24" t="s">
        <v>200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5"/>
      <c r="O214" s="25"/>
      <c r="P214" s="25"/>
      <c r="Q214" s="25"/>
      <c r="R214" s="25"/>
      <c r="S214" s="25"/>
      <c r="T214" s="28" t="str">
        <f aca="false">IF(N214="","",IF(AND(N214="수정",O214&lt;&gt;""),O214,J214))</f>
        <v/>
      </c>
      <c r="U214" s="28" t="str">
        <f aca="false">IF(N214="","",IF(AND(N214="수정",P214&lt;&gt;""),P214,K214))</f>
        <v/>
      </c>
      <c r="V214" s="28" t="str">
        <f aca="false">IF(N214="","",IF(N214="수정",IF(Q214&lt;&gt;"",Q214,IF(OR(U214="명시 없음",U214="유보",U214="절 아님"),"",L214)),L214))</f>
        <v/>
      </c>
    </row>
    <row r="215" customFormat="false" ht="15" hidden="false" customHeight="false" outlineLevel="0" collapsed="false">
      <c r="A215" s="24" t="s">
        <v>200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5"/>
      <c r="O215" s="25"/>
      <c r="P215" s="25"/>
      <c r="Q215" s="25"/>
      <c r="R215" s="25"/>
      <c r="S215" s="25"/>
      <c r="T215" s="28" t="str">
        <f aca="false">IF(N215="","",IF(AND(N215="수정",O215&lt;&gt;""),O215,J215))</f>
        <v/>
      </c>
      <c r="U215" s="28" t="str">
        <f aca="false">IF(N215="","",IF(AND(N215="수정",P215&lt;&gt;""),P215,K215))</f>
        <v/>
      </c>
      <c r="V215" s="28" t="str">
        <f aca="false">IF(N215="","",IF(N215="수정",IF(Q215&lt;&gt;"",Q215,IF(OR(U215="명시 없음",U215="유보",U215="절 아님"),"",L215)),L215))</f>
        <v/>
      </c>
    </row>
    <row r="216" customFormat="false" ht="15" hidden="false" customHeight="false" outlineLevel="0" collapsed="false">
      <c r="A216" s="24" t="s">
        <v>200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5"/>
      <c r="O216" s="25"/>
      <c r="P216" s="25"/>
      <c r="Q216" s="25"/>
      <c r="R216" s="25"/>
      <c r="S216" s="25"/>
      <c r="T216" s="28" t="str">
        <f aca="false">IF(N216="","",IF(AND(N216="수정",O216&lt;&gt;""),O216,J216))</f>
        <v/>
      </c>
      <c r="U216" s="28" t="str">
        <f aca="false">IF(N216="","",IF(AND(N216="수정",P216&lt;&gt;""),P216,K216))</f>
        <v/>
      </c>
      <c r="V216" s="28" t="str">
        <f aca="false">IF(N216="","",IF(N216="수정",IF(Q216&lt;&gt;"",Q216,IF(OR(U216="명시 없음",U216="유보",U216="절 아님"),"",L216)),L216))</f>
        <v/>
      </c>
    </row>
    <row r="217" customFormat="false" ht="15" hidden="false" customHeight="false" outlineLevel="0" collapsed="false">
      <c r="A217" s="24" t="s">
        <v>200</v>
      </c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5"/>
      <c r="O217" s="25"/>
      <c r="P217" s="25"/>
      <c r="Q217" s="25"/>
      <c r="R217" s="25"/>
      <c r="S217" s="25"/>
      <c r="T217" s="28" t="str">
        <f aca="false">IF(N217="","",IF(AND(N217="수정",O217&lt;&gt;""),O217,J217))</f>
        <v/>
      </c>
      <c r="U217" s="28" t="str">
        <f aca="false">IF(N217="","",IF(AND(N217="수정",P217&lt;&gt;""),P217,K217))</f>
        <v/>
      </c>
      <c r="V217" s="28" t="str">
        <f aca="false">IF(N217="","",IF(N217="수정",IF(Q217&lt;&gt;"",Q217,IF(OR(U217="명시 없음",U217="유보",U217="절 아님"),"",L217)),L217))</f>
        <v/>
      </c>
    </row>
    <row r="218" customFormat="false" ht="15" hidden="false" customHeight="false" outlineLevel="0" collapsed="false">
      <c r="A218" s="24" t="s">
        <v>200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5"/>
      <c r="O218" s="25"/>
      <c r="P218" s="25"/>
      <c r="Q218" s="25"/>
      <c r="R218" s="25"/>
      <c r="S218" s="25"/>
      <c r="T218" s="28" t="str">
        <f aca="false">IF(N218="","",IF(AND(N218="수정",O218&lt;&gt;""),O218,J218))</f>
        <v/>
      </c>
      <c r="U218" s="28" t="str">
        <f aca="false">IF(N218="","",IF(AND(N218="수정",P218&lt;&gt;""),P218,K218))</f>
        <v/>
      </c>
      <c r="V218" s="28" t="str">
        <f aca="false">IF(N218="","",IF(N218="수정",IF(Q218&lt;&gt;"",Q218,IF(OR(U218="명시 없음",U218="유보",U218="절 아님"),"",L218)),L218))</f>
        <v/>
      </c>
    </row>
    <row r="219" customFormat="false" ht="15" hidden="false" customHeight="false" outlineLevel="0" collapsed="false">
      <c r="A219" s="24" t="s">
        <v>200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5"/>
      <c r="O219" s="25"/>
      <c r="P219" s="25"/>
      <c r="Q219" s="25"/>
      <c r="R219" s="25"/>
      <c r="S219" s="25"/>
      <c r="T219" s="28" t="str">
        <f aca="false">IF(N219="","",IF(AND(N219="수정",O219&lt;&gt;""),O219,J219))</f>
        <v/>
      </c>
      <c r="U219" s="28" t="str">
        <f aca="false">IF(N219="","",IF(AND(N219="수정",P219&lt;&gt;""),P219,K219))</f>
        <v/>
      </c>
      <c r="V219" s="28" t="str">
        <f aca="false">IF(N219="","",IF(N219="수정",IF(Q219&lt;&gt;"",Q219,IF(OR(U219="명시 없음",U219="유보",U219="절 아님"),"",L219)),L219))</f>
        <v/>
      </c>
    </row>
    <row r="220" customFormat="false" ht="15" hidden="false" customHeight="false" outlineLevel="0" collapsed="false">
      <c r="A220" s="24" t="s">
        <v>200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5"/>
      <c r="O220" s="25"/>
      <c r="P220" s="25"/>
      <c r="Q220" s="25"/>
      <c r="R220" s="25"/>
      <c r="S220" s="25"/>
      <c r="T220" s="28" t="str">
        <f aca="false">IF(N220="","",IF(AND(N220="수정",O220&lt;&gt;""),O220,J220))</f>
        <v/>
      </c>
      <c r="U220" s="28" t="str">
        <f aca="false">IF(N220="","",IF(AND(N220="수정",P220&lt;&gt;""),P220,K220))</f>
        <v/>
      </c>
      <c r="V220" s="28" t="str">
        <f aca="false">IF(N220="","",IF(N220="수정",IF(Q220&lt;&gt;"",Q220,IF(OR(U220="명시 없음",U220="유보",U220="절 아님"),"",L220)),L220))</f>
        <v/>
      </c>
    </row>
    <row r="221" customFormat="false" ht="15" hidden="false" customHeight="false" outlineLevel="0" collapsed="false">
      <c r="A221" s="24" t="s">
        <v>200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5"/>
      <c r="O221" s="25"/>
      <c r="P221" s="25"/>
      <c r="Q221" s="25"/>
      <c r="R221" s="25"/>
      <c r="S221" s="25"/>
      <c r="T221" s="28" t="str">
        <f aca="false">IF(N221="","",IF(AND(N221="수정",O221&lt;&gt;""),O221,J221))</f>
        <v/>
      </c>
      <c r="U221" s="28" t="str">
        <f aca="false">IF(N221="","",IF(AND(N221="수정",P221&lt;&gt;""),P221,K221))</f>
        <v/>
      </c>
      <c r="V221" s="28" t="str">
        <f aca="false">IF(N221="","",IF(N221="수정",IF(Q221&lt;&gt;"",Q221,IF(OR(U221="명시 없음",U221="유보",U221="절 아님"),"",L221)),L221))</f>
        <v/>
      </c>
    </row>
    <row r="222" customFormat="false" ht="15" hidden="false" customHeight="false" outlineLevel="0" collapsed="false">
      <c r="A222" s="24" t="s">
        <v>200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5"/>
      <c r="O222" s="25"/>
      <c r="P222" s="25"/>
      <c r="Q222" s="25"/>
      <c r="R222" s="25"/>
      <c r="S222" s="25"/>
      <c r="T222" s="28" t="str">
        <f aca="false">IF(N222="","",IF(AND(N222="수정",O222&lt;&gt;""),O222,J222))</f>
        <v/>
      </c>
      <c r="U222" s="28" t="str">
        <f aca="false">IF(N222="","",IF(AND(N222="수정",P222&lt;&gt;""),P222,K222))</f>
        <v/>
      </c>
      <c r="V222" s="28" t="str">
        <f aca="false">IF(N222="","",IF(N222="수정",IF(Q222&lt;&gt;"",Q222,IF(OR(U222="명시 없음",U222="유보",U222="절 아님"),"",L222)),L222))</f>
        <v/>
      </c>
    </row>
    <row r="223" customFormat="false" ht="15" hidden="false" customHeight="false" outlineLevel="0" collapsed="false">
      <c r="A223" s="24" t="s">
        <v>200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5"/>
      <c r="O223" s="25"/>
      <c r="P223" s="25"/>
      <c r="Q223" s="25"/>
      <c r="R223" s="25"/>
      <c r="S223" s="25"/>
      <c r="T223" s="28" t="str">
        <f aca="false">IF(N223="","",IF(AND(N223="수정",O223&lt;&gt;""),O223,J223))</f>
        <v/>
      </c>
      <c r="U223" s="28" t="str">
        <f aca="false">IF(N223="","",IF(AND(N223="수정",P223&lt;&gt;""),P223,K223))</f>
        <v/>
      </c>
      <c r="V223" s="28" t="str">
        <f aca="false">IF(N223="","",IF(N223="수정",IF(Q223&lt;&gt;"",Q223,IF(OR(U223="명시 없음",U223="유보",U223="절 아님"),"",L223)),L223))</f>
        <v/>
      </c>
    </row>
    <row r="224" customFormat="false" ht="15" hidden="false" customHeight="false" outlineLevel="0" collapsed="false">
      <c r="A224" s="24" t="s">
        <v>200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5"/>
      <c r="O224" s="25"/>
      <c r="P224" s="25"/>
      <c r="Q224" s="25"/>
      <c r="R224" s="25"/>
      <c r="S224" s="25"/>
      <c r="T224" s="28" t="str">
        <f aca="false">IF(N224="","",IF(AND(N224="수정",O224&lt;&gt;""),O224,J224))</f>
        <v/>
      </c>
      <c r="U224" s="28" t="str">
        <f aca="false">IF(N224="","",IF(AND(N224="수정",P224&lt;&gt;""),P224,K224))</f>
        <v/>
      </c>
      <c r="V224" s="28" t="str">
        <f aca="false">IF(N224="","",IF(N224="수정",IF(Q224&lt;&gt;"",Q224,IF(OR(U224="명시 없음",U224="유보",U224="절 아님"),"",L224)),L224))</f>
        <v/>
      </c>
    </row>
    <row r="225" customFormat="false" ht="15" hidden="false" customHeight="false" outlineLevel="0" collapsed="false">
      <c r="A225" s="24" t="s">
        <v>200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5"/>
      <c r="O225" s="25"/>
      <c r="P225" s="25"/>
      <c r="Q225" s="25"/>
      <c r="R225" s="25"/>
      <c r="S225" s="25"/>
      <c r="T225" s="28" t="str">
        <f aca="false">IF(N225="","",IF(AND(N225="수정",O225&lt;&gt;""),O225,J225))</f>
        <v/>
      </c>
      <c r="U225" s="28" t="str">
        <f aca="false">IF(N225="","",IF(AND(N225="수정",P225&lt;&gt;""),P225,K225))</f>
        <v/>
      </c>
      <c r="V225" s="28" t="str">
        <f aca="false">IF(N225="","",IF(N225="수정",IF(Q225&lt;&gt;"",Q225,IF(OR(U225="명시 없음",U225="유보",U225="절 아님"),"",L225)),L225))</f>
        <v/>
      </c>
    </row>
    <row r="226" customFormat="false" ht="15" hidden="false" customHeight="false" outlineLevel="0" collapsed="false">
      <c r="A226" s="24" t="s">
        <v>200</v>
      </c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5"/>
      <c r="O226" s="25"/>
      <c r="P226" s="25"/>
      <c r="Q226" s="25"/>
      <c r="R226" s="25"/>
      <c r="S226" s="25"/>
      <c r="T226" s="28" t="str">
        <f aca="false">IF(N226="","",IF(AND(N226="수정",O226&lt;&gt;""),O226,J226))</f>
        <v/>
      </c>
      <c r="U226" s="28" t="str">
        <f aca="false">IF(N226="","",IF(AND(N226="수정",P226&lt;&gt;""),P226,K226))</f>
        <v/>
      </c>
      <c r="V226" s="28" t="str">
        <f aca="false">IF(N226="","",IF(N226="수정",IF(Q226&lt;&gt;"",Q226,IF(OR(U226="명시 없음",U226="유보",U226="절 아님"),"",L226)),L226))</f>
        <v/>
      </c>
    </row>
    <row r="227" customFormat="false" ht="15" hidden="false" customHeight="false" outlineLevel="0" collapsed="false">
      <c r="A227" s="24" t="s">
        <v>200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5"/>
      <c r="O227" s="25"/>
      <c r="P227" s="25"/>
      <c r="Q227" s="25"/>
      <c r="R227" s="25"/>
      <c r="S227" s="25"/>
      <c r="T227" s="28" t="str">
        <f aca="false">IF(N227="","",IF(AND(N227="수정",O227&lt;&gt;""),O227,J227))</f>
        <v/>
      </c>
      <c r="U227" s="28" t="str">
        <f aca="false">IF(N227="","",IF(AND(N227="수정",P227&lt;&gt;""),P227,K227))</f>
        <v/>
      </c>
      <c r="V227" s="28" t="str">
        <f aca="false">IF(N227="","",IF(N227="수정",IF(Q227&lt;&gt;"",Q227,IF(OR(U227="명시 없음",U227="유보",U227="절 아님"),"",L227)),L227))</f>
        <v/>
      </c>
    </row>
    <row r="228" customFormat="false" ht="15" hidden="false" customHeight="false" outlineLevel="0" collapsed="false">
      <c r="A228" s="24" t="s">
        <v>200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5"/>
      <c r="O228" s="25"/>
      <c r="P228" s="25"/>
      <c r="Q228" s="25"/>
      <c r="R228" s="25"/>
      <c r="S228" s="25"/>
      <c r="T228" s="28" t="str">
        <f aca="false">IF(N228="","",IF(AND(N228="수정",O228&lt;&gt;""),O228,J228))</f>
        <v/>
      </c>
      <c r="U228" s="28" t="str">
        <f aca="false">IF(N228="","",IF(AND(N228="수정",P228&lt;&gt;""),P228,K228))</f>
        <v/>
      </c>
      <c r="V228" s="28" t="str">
        <f aca="false">IF(N228="","",IF(N228="수정",IF(Q228&lt;&gt;"",Q228,IF(OR(U228="명시 없음",U228="유보",U228="절 아님"),"",L228)),L228))</f>
        <v/>
      </c>
    </row>
    <row r="229" customFormat="false" ht="15" hidden="false" customHeight="false" outlineLevel="0" collapsed="false">
      <c r="A229" s="24" t="s">
        <v>200</v>
      </c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5"/>
      <c r="O229" s="25"/>
      <c r="P229" s="25"/>
      <c r="Q229" s="25"/>
      <c r="R229" s="25"/>
      <c r="S229" s="25"/>
      <c r="T229" s="28" t="str">
        <f aca="false">IF(N229="","",IF(AND(N229="수정",O229&lt;&gt;""),O229,J229))</f>
        <v/>
      </c>
      <c r="U229" s="28" t="str">
        <f aca="false">IF(N229="","",IF(AND(N229="수정",P229&lt;&gt;""),P229,K229))</f>
        <v/>
      </c>
      <c r="V229" s="28" t="str">
        <f aca="false">IF(N229="","",IF(N229="수정",IF(Q229&lt;&gt;"",Q229,IF(OR(U229="명시 없음",U229="유보",U229="절 아님"),"",L229)),L229))</f>
        <v/>
      </c>
    </row>
    <row r="230" customFormat="false" ht="15" hidden="false" customHeight="false" outlineLevel="0" collapsed="false">
      <c r="A230" s="24" t="s">
        <v>200</v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5"/>
      <c r="O230" s="25"/>
      <c r="P230" s="25"/>
      <c r="Q230" s="25"/>
      <c r="R230" s="25"/>
      <c r="S230" s="25"/>
      <c r="T230" s="28" t="str">
        <f aca="false">IF(N230="","",IF(AND(N230="수정",O230&lt;&gt;""),O230,J230))</f>
        <v/>
      </c>
      <c r="U230" s="28" t="str">
        <f aca="false">IF(N230="","",IF(AND(N230="수정",P230&lt;&gt;""),P230,K230))</f>
        <v/>
      </c>
      <c r="V230" s="28" t="str">
        <f aca="false">IF(N230="","",IF(N230="수정",IF(Q230&lt;&gt;"",Q230,IF(OR(U230="명시 없음",U230="유보",U230="절 아님"),"",L230)),L230))</f>
        <v/>
      </c>
    </row>
    <row r="231" customFormat="false" ht="15" hidden="false" customHeight="false" outlineLevel="0" collapsed="false">
      <c r="A231" s="24" t="s">
        <v>200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5"/>
      <c r="O231" s="25"/>
      <c r="P231" s="25"/>
      <c r="Q231" s="25"/>
      <c r="R231" s="25"/>
      <c r="S231" s="25"/>
      <c r="T231" s="28" t="str">
        <f aca="false">IF(N231="","",IF(AND(N231="수정",O231&lt;&gt;""),O231,J231))</f>
        <v/>
      </c>
      <c r="U231" s="28" t="str">
        <f aca="false">IF(N231="","",IF(AND(N231="수정",P231&lt;&gt;""),P231,K231))</f>
        <v/>
      </c>
      <c r="V231" s="28" t="str">
        <f aca="false">IF(N231="","",IF(N231="수정",IF(Q231&lt;&gt;"",Q231,IF(OR(U231="명시 없음",U231="유보",U231="절 아님"),"",L231)),L231))</f>
        <v/>
      </c>
    </row>
    <row r="232" customFormat="false" ht="15" hidden="false" customHeight="false" outlineLevel="0" collapsed="false">
      <c r="A232" s="24" t="s">
        <v>200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5"/>
      <c r="O232" s="25"/>
      <c r="P232" s="25"/>
      <c r="Q232" s="25"/>
      <c r="R232" s="25"/>
      <c r="S232" s="25"/>
      <c r="T232" s="28" t="str">
        <f aca="false">IF(N232="","",IF(AND(N232="수정",O232&lt;&gt;""),O232,J232))</f>
        <v/>
      </c>
      <c r="U232" s="28" t="str">
        <f aca="false">IF(N232="","",IF(AND(N232="수정",P232&lt;&gt;""),P232,K232))</f>
        <v/>
      </c>
      <c r="V232" s="28" t="str">
        <f aca="false">IF(N232="","",IF(N232="수정",IF(Q232&lt;&gt;"",Q232,IF(OR(U232="명시 없음",U232="유보",U232="절 아님"),"",L232)),L232))</f>
        <v/>
      </c>
    </row>
    <row r="233" customFormat="false" ht="15" hidden="false" customHeight="false" outlineLevel="0" collapsed="false">
      <c r="A233" s="24" t="s">
        <v>200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5"/>
      <c r="O233" s="25"/>
      <c r="P233" s="25"/>
      <c r="Q233" s="25"/>
      <c r="R233" s="25"/>
      <c r="S233" s="25"/>
      <c r="T233" s="28" t="str">
        <f aca="false">IF(N233="","",IF(AND(N233="수정",O233&lt;&gt;""),O233,J233))</f>
        <v/>
      </c>
      <c r="U233" s="28" t="str">
        <f aca="false">IF(N233="","",IF(AND(N233="수정",P233&lt;&gt;""),P233,K233))</f>
        <v/>
      </c>
      <c r="V233" s="28" t="str">
        <f aca="false">IF(N233="","",IF(N233="수정",IF(Q233&lt;&gt;"",Q233,IF(OR(U233="명시 없음",U233="유보",U233="절 아님"),"",L233)),L233))</f>
        <v/>
      </c>
    </row>
    <row r="234" customFormat="false" ht="15" hidden="false" customHeight="false" outlineLevel="0" collapsed="false">
      <c r="A234" s="24" t="s">
        <v>200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5"/>
      <c r="O234" s="25"/>
      <c r="P234" s="25"/>
      <c r="Q234" s="25"/>
      <c r="R234" s="25"/>
      <c r="S234" s="25"/>
      <c r="T234" s="28" t="str">
        <f aca="false">IF(N234="","",IF(AND(N234="수정",O234&lt;&gt;""),O234,J234))</f>
        <v/>
      </c>
      <c r="U234" s="28" t="str">
        <f aca="false">IF(N234="","",IF(AND(N234="수정",P234&lt;&gt;""),P234,K234))</f>
        <v/>
      </c>
      <c r="V234" s="28" t="str">
        <f aca="false">IF(N234="","",IF(N234="수정",IF(Q234&lt;&gt;"",Q234,IF(OR(U234="명시 없음",U234="유보",U234="절 아님"),"",L234)),L234))</f>
        <v/>
      </c>
    </row>
    <row r="235" customFormat="false" ht="15" hidden="false" customHeight="false" outlineLevel="0" collapsed="false">
      <c r="A235" s="24" t="s">
        <v>200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5"/>
      <c r="O235" s="25"/>
      <c r="P235" s="25"/>
      <c r="Q235" s="25"/>
      <c r="R235" s="25"/>
      <c r="S235" s="25"/>
      <c r="T235" s="28" t="str">
        <f aca="false">IF(N235="","",IF(AND(N235="수정",O235&lt;&gt;""),O235,J235))</f>
        <v/>
      </c>
      <c r="U235" s="28" t="str">
        <f aca="false">IF(N235="","",IF(AND(N235="수정",P235&lt;&gt;""),P235,K235))</f>
        <v/>
      </c>
      <c r="V235" s="28" t="str">
        <f aca="false">IF(N235="","",IF(N235="수정",IF(Q235&lt;&gt;"",Q235,IF(OR(U235="명시 없음",U235="유보",U235="절 아님"),"",L235)),L235))</f>
        <v/>
      </c>
    </row>
    <row r="236" customFormat="false" ht="15" hidden="false" customHeight="false" outlineLevel="0" collapsed="false">
      <c r="A236" s="24" t="s">
        <v>200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5"/>
      <c r="O236" s="25"/>
      <c r="P236" s="25"/>
      <c r="Q236" s="25"/>
      <c r="R236" s="25"/>
      <c r="S236" s="25"/>
      <c r="T236" s="28" t="str">
        <f aca="false">IF(N236="","",IF(AND(N236="수정",O236&lt;&gt;""),O236,J236))</f>
        <v/>
      </c>
      <c r="U236" s="28" t="str">
        <f aca="false">IF(N236="","",IF(AND(N236="수정",P236&lt;&gt;""),P236,K236))</f>
        <v/>
      </c>
      <c r="V236" s="28" t="str">
        <f aca="false">IF(N236="","",IF(N236="수정",IF(Q236&lt;&gt;"",Q236,IF(OR(U236="명시 없음",U236="유보",U236="절 아님"),"",L236)),L236))</f>
        <v/>
      </c>
    </row>
    <row r="237" customFormat="false" ht="15" hidden="false" customHeight="false" outlineLevel="0" collapsed="false">
      <c r="A237" s="24" t="s">
        <v>200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5"/>
      <c r="O237" s="25"/>
      <c r="P237" s="25"/>
      <c r="Q237" s="25"/>
      <c r="R237" s="25"/>
      <c r="S237" s="25"/>
      <c r="T237" s="28" t="str">
        <f aca="false">IF(N237="","",IF(AND(N237="수정",O237&lt;&gt;""),O237,J237))</f>
        <v/>
      </c>
      <c r="U237" s="28" t="str">
        <f aca="false">IF(N237="","",IF(AND(N237="수정",P237&lt;&gt;""),P237,K237))</f>
        <v/>
      </c>
      <c r="V237" s="28" t="str">
        <f aca="false">IF(N237="","",IF(N237="수정",IF(Q237&lt;&gt;"",Q237,IF(OR(U237="명시 없음",U237="유보",U237="절 아님"),"",L237)),L237))</f>
        <v/>
      </c>
    </row>
    <row r="238" customFormat="false" ht="15" hidden="false" customHeight="false" outlineLevel="0" collapsed="false">
      <c r="A238" s="24" t="s">
        <v>200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5"/>
      <c r="O238" s="25"/>
      <c r="P238" s="25"/>
      <c r="Q238" s="25"/>
      <c r="R238" s="25"/>
      <c r="S238" s="25"/>
      <c r="T238" s="28" t="str">
        <f aca="false">IF(N238="","",IF(AND(N238="수정",O238&lt;&gt;""),O238,J238))</f>
        <v/>
      </c>
      <c r="U238" s="28" t="str">
        <f aca="false">IF(N238="","",IF(AND(N238="수정",P238&lt;&gt;""),P238,K238))</f>
        <v/>
      </c>
      <c r="V238" s="28" t="str">
        <f aca="false">IF(N238="","",IF(N238="수정",IF(Q238&lt;&gt;"",Q238,IF(OR(U238="명시 없음",U238="유보",U238="절 아님"),"",L238)),L238))</f>
        <v/>
      </c>
    </row>
    <row r="239" customFormat="false" ht="15" hidden="false" customHeight="false" outlineLevel="0" collapsed="false">
      <c r="A239" s="24" t="s">
        <v>200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5"/>
      <c r="O239" s="25"/>
      <c r="P239" s="25"/>
      <c r="Q239" s="25"/>
      <c r="R239" s="25"/>
      <c r="S239" s="25"/>
      <c r="T239" s="28" t="str">
        <f aca="false">IF(N239="","",IF(AND(N239="수정",O239&lt;&gt;""),O239,J239))</f>
        <v/>
      </c>
      <c r="U239" s="28" t="str">
        <f aca="false">IF(N239="","",IF(AND(N239="수정",P239&lt;&gt;""),P239,K239))</f>
        <v/>
      </c>
      <c r="V239" s="28" t="str">
        <f aca="false">IF(N239="","",IF(N239="수정",IF(Q239&lt;&gt;"",Q239,IF(OR(U239="명시 없음",U239="유보",U239="절 아님"),"",L239)),L239))</f>
        <v/>
      </c>
    </row>
    <row r="240" customFormat="false" ht="15" hidden="false" customHeight="false" outlineLevel="0" collapsed="false">
      <c r="A240" s="24" t="s">
        <v>200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5"/>
      <c r="O240" s="25"/>
      <c r="P240" s="25"/>
      <c r="Q240" s="25"/>
      <c r="R240" s="25"/>
      <c r="S240" s="25"/>
      <c r="T240" s="28" t="str">
        <f aca="false">IF(N240="","",IF(AND(N240="수정",O240&lt;&gt;""),O240,J240))</f>
        <v/>
      </c>
      <c r="U240" s="28" t="str">
        <f aca="false">IF(N240="","",IF(AND(N240="수정",P240&lt;&gt;""),P240,K240))</f>
        <v/>
      </c>
      <c r="V240" s="28" t="str">
        <f aca="false">IF(N240="","",IF(N240="수정",IF(Q240&lt;&gt;"",Q240,IF(OR(U240="명시 없음",U240="유보",U240="절 아님"),"",L240)),L240))</f>
        <v/>
      </c>
    </row>
    <row r="241" customFormat="false" ht="15" hidden="false" customHeight="false" outlineLevel="0" collapsed="false">
      <c r="A241" s="24" t="s">
        <v>200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5"/>
      <c r="O241" s="25"/>
      <c r="P241" s="25"/>
      <c r="Q241" s="25"/>
      <c r="R241" s="25"/>
      <c r="S241" s="25"/>
      <c r="T241" s="28" t="str">
        <f aca="false">IF(N241="","",IF(AND(N241="수정",O241&lt;&gt;""),O241,J241))</f>
        <v/>
      </c>
      <c r="U241" s="28" t="str">
        <f aca="false">IF(N241="","",IF(AND(N241="수정",P241&lt;&gt;""),P241,K241))</f>
        <v/>
      </c>
      <c r="V241" s="28" t="str">
        <f aca="false">IF(N241="","",IF(N241="수정",IF(Q241&lt;&gt;"",Q241,IF(OR(U241="명시 없음",U241="유보",U241="절 아님"),"",L241)),L241))</f>
        <v/>
      </c>
    </row>
    <row r="242" customFormat="false" ht="15" hidden="false" customHeight="false" outlineLevel="0" collapsed="false">
      <c r="A242" s="24" t="s">
        <v>200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5"/>
      <c r="O242" s="25"/>
      <c r="P242" s="25"/>
      <c r="Q242" s="25"/>
      <c r="R242" s="25"/>
      <c r="S242" s="25"/>
      <c r="T242" s="28" t="str">
        <f aca="false">IF(N242="","",IF(AND(N242="수정",O242&lt;&gt;""),O242,J242))</f>
        <v/>
      </c>
      <c r="U242" s="28" t="str">
        <f aca="false">IF(N242="","",IF(AND(N242="수정",P242&lt;&gt;""),P242,K242))</f>
        <v/>
      </c>
      <c r="V242" s="28" t="str">
        <f aca="false">IF(N242="","",IF(N242="수정",IF(Q242&lt;&gt;"",Q242,IF(OR(U242="명시 없음",U242="유보",U242="절 아님"),"",L242)),L242))</f>
        <v/>
      </c>
    </row>
    <row r="243" customFormat="false" ht="15" hidden="false" customHeight="false" outlineLevel="0" collapsed="false">
      <c r="A243" s="24" t="s">
        <v>200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5"/>
      <c r="O243" s="25"/>
      <c r="P243" s="25"/>
      <c r="Q243" s="25"/>
      <c r="R243" s="25"/>
      <c r="S243" s="25"/>
      <c r="T243" s="28" t="str">
        <f aca="false">IF(N243="","",IF(AND(N243="수정",O243&lt;&gt;""),O243,J243))</f>
        <v/>
      </c>
      <c r="U243" s="28" t="str">
        <f aca="false">IF(N243="","",IF(AND(N243="수정",P243&lt;&gt;""),P243,K243))</f>
        <v/>
      </c>
      <c r="V243" s="28" t="str">
        <f aca="false">IF(N243="","",IF(N243="수정",IF(Q243&lt;&gt;"",Q243,IF(OR(U243="명시 없음",U243="유보",U243="절 아님"),"",L243)),L243))</f>
        <v/>
      </c>
    </row>
    <row r="244" customFormat="false" ht="15" hidden="false" customHeight="false" outlineLevel="0" collapsed="false">
      <c r="A244" s="24" t="s">
        <v>200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5"/>
      <c r="O244" s="25"/>
      <c r="P244" s="25"/>
      <c r="Q244" s="25"/>
      <c r="R244" s="25"/>
      <c r="S244" s="25"/>
      <c r="T244" s="28" t="str">
        <f aca="false">IF(N244="","",IF(AND(N244="수정",O244&lt;&gt;""),O244,J244))</f>
        <v/>
      </c>
      <c r="U244" s="28" t="str">
        <f aca="false">IF(N244="","",IF(AND(N244="수정",P244&lt;&gt;""),P244,K244))</f>
        <v/>
      </c>
      <c r="V244" s="28" t="str">
        <f aca="false">IF(N244="","",IF(N244="수정",IF(Q244&lt;&gt;"",Q244,IF(OR(U244="명시 없음",U244="유보",U244="절 아님"),"",L244)),L244))</f>
        <v/>
      </c>
    </row>
    <row r="245" customFormat="false" ht="15" hidden="false" customHeight="false" outlineLevel="0" collapsed="false">
      <c r="A245" s="24" t="s">
        <v>200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5"/>
      <c r="O245" s="25"/>
      <c r="P245" s="25"/>
      <c r="Q245" s="25"/>
      <c r="R245" s="25"/>
      <c r="S245" s="25"/>
      <c r="T245" s="28" t="str">
        <f aca="false">IF(N245="","",IF(AND(N245="수정",O245&lt;&gt;""),O245,J245))</f>
        <v/>
      </c>
      <c r="U245" s="28" t="str">
        <f aca="false">IF(N245="","",IF(AND(N245="수정",P245&lt;&gt;""),P245,K245))</f>
        <v/>
      </c>
      <c r="V245" s="28" t="str">
        <f aca="false">IF(N245="","",IF(N245="수정",IF(Q245&lt;&gt;"",Q245,IF(OR(U245="명시 없음",U245="유보",U245="절 아님"),"",L245)),L245))</f>
        <v/>
      </c>
    </row>
    <row r="246" customFormat="false" ht="15" hidden="false" customHeight="false" outlineLevel="0" collapsed="false">
      <c r="A246" s="24" t="s">
        <v>200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5"/>
      <c r="O246" s="25"/>
      <c r="P246" s="25"/>
      <c r="Q246" s="25"/>
      <c r="R246" s="25"/>
      <c r="S246" s="25"/>
      <c r="T246" s="28" t="str">
        <f aca="false">IF(N246="","",IF(AND(N246="수정",O246&lt;&gt;""),O246,J246))</f>
        <v/>
      </c>
      <c r="U246" s="28" t="str">
        <f aca="false">IF(N246="","",IF(AND(N246="수정",P246&lt;&gt;""),P246,K246))</f>
        <v/>
      </c>
      <c r="V246" s="28" t="str">
        <f aca="false">IF(N246="","",IF(N246="수정",IF(Q246&lt;&gt;"",Q246,IF(OR(U246="명시 없음",U246="유보",U246="절 아님"),"",L246)),L246))</f>
        <v/>
      </c>
    </row>
    <row r="247" customFormat="false" ht="15" hidden="false" customHeight="false" outlineLevel="0" collapsed="false">
      <c r="A247" s="24" t="s">
        <v>200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5"/>
      <c r="O247" s="25"/>
      <c r="P247" s="25"/>
      <c r="Q247" s="25"/>
      <c r="R247" s="25"/>
      <c r="S247" s="25"/>
      <c r="T247" s="28" t="str">
        <f aca="false">IF(N247="","",IF(AND(N247="수정",O247&lt;&gt;""),O247,J247))</f>
        <v/>
      </c>
      <c r="U247" s="28" t="str">
        <f aca="false">IF(N247="","",IF(AND(N247="수정",P247&lt;&gt;""),P247,K247))</f>
        <v/>
      </c>
      <c r="V247" s="28" t="str">
        <f aca="false">IF(N247="","",IF(N247="수정",IF(Q247&lt;&gt;"",Q247,IF(OR(U247="명시 없음",U247="유보",U247="절 아님"),"",L247)),L247))</f>
        <v/>
      </c>
    </row>
    <row r="248" customFormat="false" ht="15" hidden="false" customHeight="false" outlineLevel="0" collapsed="false">
      <c r="A248" s="24" t="s">
        <v>200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5"/>
      <c r="O248" s="25"/>
      <c r="P248" s="25"/>
      <c r="Q248" s="25"/>
      <c r="R248" s="25"/>
      <c r="S248" s="25"/>
      <c r="T248" s="28" t="str">
        <f aca="false">IF(N248="","",IF(AND(N248="수정",O248&lt;&gt;""),O248,J248))</f>
        <v/>
      </c>
      <c r="U248" s="28" t="str">
        <f aca="false">IF(N248="","",IF(AND(N248="수정",P248&lt;&gt;""),P248,K248))</f>
        <v/>
      </c>
      <c r="V248" s="28" t="str">
        <f aca="false">IF(N248="","",IF(N248="수정",IF(Q248&lt;&gt;"",Q248,IF(OR(U248="명시 없음",U248="유보",U248="절 아님"),"",L248)),L248))</f>
        <v/>
      </c>
    </row>
    <row r="249" customFormat="false" ht="15" hidden="false" customHeight="false" outlineLevel="0" collapsed="false">
      <c r="A249" s="24" t="s">
        <v>200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5"/>
      <c r="O249" s="25"/>
      <c r="P249" s="25"/>
      <c r="Q249" s="25"/>
      <c r="R249" s="25"/>
      <c r="S249" s="25"/>
      <c r="T249" s="28" t="str">
        <f aca="false">IF(N249="","",IF(AND(N249="수정",O249&lt;&gt;""),O249,J249))</f>
        <v/>
      </c>
      <c r="U249" s="28" t="str">
        <f aca="false">IF(N249="","",IF(AND(N249="수정",P249&lt;&gt;""),P249,K249))</f>
        <v/>
      </c>
      <c r="V249" s="28" t="str">
        <f aca="false">IF(N249="","",IF(N249="수정",IF(Q249&lt;&gt;"",Q249,IF(OR(U249="명시 없음",U249="유보",U249="절 아님"),"",L249)),L249))</f>
        <v/>
      </c>
    </row>
    <row r="250" customFormat="false" ht="15" hidden="false" customHeight="false" outlineLevel="0" collapsed="false">
      <c r="A250" s="24" t="s">
        <v>200</v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5"/>
      <c r="O250" s="25"/>
      <c r="P250" s="25"/>
      <c r="Q250" s="25"/>
      <c r="R250" s="25"/>
      <c r="S250" s="25"/>
      <c r="T250" s="28" t="str">
        <f aca="false">IF(N250="","",IF(AND(N250="수정",O250&lt;&gt;""),O250,J250))</f>
        <v/>
      </c>
      <c r="U250" s="28" t="str">
        <f aca="false">IF(N250="","",IF(AND(N250="수정",P250&lt;&gt;""),P250,K250))</f>
        <v/>
      </c>
      <c r="V250" s="28" t="str">
        <f aca="false">IF(N250="","",IF(N250="수정",IF(Q250&lt;&gt;"",Q250,IF(OR(U250="명시 없음",U250="유보",U250="절 아님"),"",L250)),L250))</f>
        <v/>
      </c>
    </row>
    <row r="251" customFormat="false" ht="15" hidden="false" customHeight="false" outlineLevel="0" collapsed="false">
      <c r="A251" s="24" t="s">
        <v>200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5"/>
      <c r="O251" s="25"/>
      <c r="P251" s="25"/>
      <c r="Q251" s="25"/>
      <c r="R251" s="25"/>
      <c r="S251" s="25"/>
      <c r="T251" s="28" t="str">
        <f aca="false">IF(N251="","",IF(AND(N251="수정",O251&lt;&gt;""),O251,J251))</f>
        <v/>
      </c>
      <c r="U251" s="28" t="str">
        <f aca="false">IF(N251="","",IF(AND(N251="수정",P251&lt;&gt;""),P251,K251))</f>
        <v/>
      </c>
      <c r="V251" s="28" t="str">
        <f aca="false">IF(N251="","",IF(N251="수정",IF(Q251&lt;&gt;"",Q251,IF(OR(U251="명시 없음",U251="유보",U251="절 아님"),"",L251)),L251))</f>
        <v/>
      </c>
    </row>
    <row r="252" customFormat="false" ht="15" hidden="false" customHeight="false" outlineLevel="0" collapsed="false">
      <c r="A252" s="24" t="s">
        <v>200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5"/>
      <c r="O252" s="25"/>
      <c r="P252" s="25"/>
      <c r="Q252" s="25"/>
      <c r="R252" s="25"/>
      <c r="S252" s="25"/>
      <c r="T252" s="28" t="str">
        <f aca="false">IF(N252="","",IF(AND(N252="수정",O252&lt;&gt;""),O252,J252))</f>
        <v/>
      </c>
      <c r="U252" s="28" t="str">
        <f aca="false">IF(N252="","",IF(AND(N252="수정",P252&lt;&gt;""),P252,K252))</f>
        <v/>
      </c>
      <c r="V252" s="28" t="str">
        <f aca="false">IF(N252="","",IF(N252="수정",IF(Q252&lt;&gt;"",Q252,IF(OR(U252="명시 없음",U252="유보",U252="절 아님"),"",L252)),L252))</f>
        <v/>
      </c>
    </row>
    <row r="253" customFormat="false" ht="15" hidden="false" customHeight="false" outlineLevel="0" collapsed="false">
      <c r="A253" s="24" t="s">
        <v>200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5"/>
      <c r="O253" s="25"/>
      <c r="P253" s="25"/>
      <c r="Q253" s="25"/>
      <c r="R253" s="25"/>
      <c r="S253" s="25"/>
      <c r="T253" s="28" t="str">
        <f aca="false">IF(N253="","",IF(AND(N253="수정",O253&lt;&gt;""),O253,J253))</f>
        <v/>
      </c>
      <c r="U253" s="28" t="str">
        <f aca="false">IF(N253="","",IF(AND(N253="수정",P253&lt;&gt;""),P253,K253))</f>
        <v/>
      </c>
      <c r="V253" s="28" t="str">
        <f aca="false">IF(N253="","",IF(N253="수정",IF(Q253&lt;&gt;"",Q253,IF(OR(U253="명시 없음",U253="유보",U253="절 아님"),"",L253)),L253))</f>
        <v/>
      </c>
    </row>
    <row r="254" customFormat="false" ht="15" hidden="false" customHeight="false" outlineLevel="0" collapsed="false">
      <c r="A254" s="24" t="s">
        <v>200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5"/>
      <c r="O254" s="25"/>
      <c r="P254" s="25"/>
      <c r="Q254" s="25"/>
      <c r="R254" s="25"/>
      <c r="S254" s="25"/>
      <c r="T254" s="28" t="str">
        <f aca="false">IF(N254="","",IF(AND(N254="수정",O254&lt;&gt;""),O254,J254))</f>
        <v/>
      </c>
      <c r="U254" s="28" t="str">
        <f aca="false">IF(N254="","",IF(AND(N254="수정",P254&lt;&gt;""),P254,K254))</f>
        <v/>
      </c>
      <c r="V254" s="28" t="str">
        <f aca="false">IF(N254="","",IF(N254="수정",IF(Q254&lt;&gt;"",Q254,IF(OR(U254="명시 없음",U254="유보",U254="절 아님"),"",L254)),L254))</f>
        <v/>
      </c>
    </row>
    <row r="255" customFormat="false" ht="15" hidden="false" customHeight="false" outlineLevel="0" collapsed="false">
      <c r="A255" s="24" t="s">
        <v>200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5"/>
      <c r="O255" s="25"/>
      <c r="P255" s="25"/>
      <c r="Q255" s="25"/>
      <c r="R255" s="25"/>
      <c r="S255" s="25"/>
      <c r="T255" s="28" t="str">
        <f aca="false">IF(N255="","",IF(AND(N255="수정",O255&lt;&gt;""),O255,J255))</f>
        <v/>
      </c>
      <c r="U255" s="28" t="str">
        <f aca="false">IF(N255="","",IF(AND(N255="수정",P255&lt;&gt;""),P255,K255))</f>
        <v/>
      </c>
      <c r="V255" s="28" t="str">
        <f aca="false">IF(N255="","",IF(N255="수정",IF(Q255&lt;&gt;"",Q255,IF(OR(U255="명시 없음",U255="유보",U255="절 아님"),"",L255)),L255))</f>
        <v/>
      </c>
    </row>
    <row r="256" customFormat="false" ht="15" hidden="false" customHeight="false" outlineLevel="0" collapsed="false">
      <c r="A256" s="24" t="s">
        <v>200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5"/>
      <c r="O256" s="25"/>
      <c r="P256" s="25"/>
      <c r="Q256" s="25"/>
      <c r="R256" s="25"/>
      <c r="S256" s="25"/>
      <c r="T256" s="28" t="str">
        <f aca="false">IF(N256="","",IF(AND(N256="수정",O256&lt;&gt;""),O256,J256))</f>
        <v/>
      </c>
      <c r="U256" s="28" t="str">
        <f aca="false">IF(N256="","",IF(AND(N256="수정",P256&lt;&gt;""),P256,K256))</f>
        <v/>
      </c>
      <c r="V256" s="28" t="str">
        <f aca="false">IF(N256="","",IF(N256="수정",IF(Q256&lt;&gt;"",Q256,IF(OR(U256="명시 없음",U256="유보",U256="절 아님"),"",L256)),L256))</f>
        <v/>
      </c>
    </row>
    <row r="257" customFormat="false" ht="15" hidden="false" customHeight="false" outlineLevel="0" collapsed="false">
      <c r="A257" s="24" t="s">
        <v>200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5"/>
      <c r="O257" s="25"/>
      <c r="P257" s="25"/>
      <c r="Q257" s="25"/>
      <c r="R257" s="25"/>
      <c r="S257" s="25"/>
      <c r="T257" s="28" t="str">
        <f aca="false">IF(N257="","",IF(AND(N257="수정",O257&lt;&gt;""),O257,J257))</f>
        <v/>
      </c>
      <c r="U257" s="28" t="str">
        <f aca="false">IF(N257="","",IF(AND(N257="수정",P257&lt;&gt;""),P257,K257))</f>
        <v/>
      </c>
      <c r="V257" s="28" t="str">
        <f aca="false">IF(N257="","",IF(N257="수정",IF(Q257&lt;&gt;"",Q257,IF(OR(U257="명시 없음",U257="유보",U257="절 아님"),"",L257)),L257))</f>
        <v/>
      </c>
    </row>
    <row r="258" customFormat="false" ht="15" hidden="false" customHeight="false" outlineLevel="0" collapsed="false">
      <c r="A258" s="24" t="s">
        <v>200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5"/>
      <c r="O258" s="25"/>
      <c r="P258" s="25"/>
      <c r="Q258" s="25"/>
      <c r="R258" s="25"/>
      <c r="S258" s="25"/>
      <c r="T258" s="28" t="str">
        <f aca="false">IF(N258="","",IF(AND(N258="수정",O258&lt;&gt;""),O258,J258))</f>
        <v/>
      </c>
      <c r="U258" s="28" t="str">
        <f aca="false">IF(N258="","",IF(AND(N258="수정",P258&lt;&gt;""),P258,K258))</f>
        <v/>
      </c>
      <c r="V258" s="28" t="str">
        <f aca="false">IF(N258="","",IF(N258="수정",IF(Q258&lt;&gt;"",Q258,IF(OR(U258="명시 없음",U258="유보",U258="절 아님"),"",L258)),L258))</f>
        <v/>
      </c>
    </row>
    <row r="259" customFormat="false" ht="15" hidden="false" customHeight="false" outlineLevel="0" collapsed="false">
      <c r="A259" s="24" t="s">
        <v>200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5"/>
      <c r="O259" s="25"/>
      <c r="P259" s="25"/>
      <c r="Q259" s="25"/>
      <c r="R259" s="25"/>
      <c r="S259" s="25"/>
      <c r="T259" s="28" t="str">
        <f aca="false">IF(N259="","",IF(AND(N259="수정",O259&lt;&gt;""),O259,J259))</f>
        <v/>
      </c>
      <c r="U259" s="28" t="str">
        <f aca="false">IF(N259="","",IF(AND(N259="수정",P259&lt;&gt;""),P259,K259))</f>
        <v/>
      </c>
      <c r="V259" s="28" t="str">
        <f aca="false">IF(N259="","",IF(N259="수정",IF(Q259&lt;&gt;"",Q259,IF(OR(U259="명시 없음",U259="유보",U259="절 아님"),"",L259)),L259))</f>
        <v/>
      </c>
    </row>
    <row r="260" customFormat="false" ht="15" hidden="false" customHeight="false" outlineLevel="0" collapsed="false">
      <c r="A260" s="24" t="s">
        <v>200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5"/>
      <c r="O260" s="25"/>
      <c r="P260" s="25"/>
      <c r="Q260" s="25"/>
      <c r="R260" s="25"/>
      <c r="S260" s="25"/>
      <c r="T260" s="28" t="str">
        <f aca="false">IF(N260="","",IF(AND(N260="수정",O260&lt;&gt;""),O260,J260))</f>
        <v/>
      </c>
      <c r="U260" s="28" t="str">
        <f aca="false">IF(N260="","",IF(AND(N260="수정",P260&lt;&gt;""),P260,K260))</f>
        <v/>
      </c>
      <c r="V260" s="28" t="str">
        <f aca="false">IF(N260="","",IF(N260="수정",IF(Q260&lt;&gt;"",Q260,IF(OR(U260="명시 없음",U260="유보",U260="절 아님"),"",L260)),L260))</f>
        <v/>
      </c>
    </row>
    <row r="261" customFormat="false" ht="15" hidden="false" customHeight="false" outlineLevel="0" collapsed="false">
      <c r="A261" s="24" t="s">
        <v>200</v>
      </c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5"/>
      <c r="O261" s="25"/>
      <c r="P261" s="25"/>
      <c r="Q261" s="25"/>
      <c r="R261" s="25"/>
      <c r="S261" s="25"/>
      <c r="T261" s="28" t="str">
        <f aca="false">IF(N261="","",IF(AND(N261="수정",O261&lt;&gt;""),O261,J261))</f>
        <v/>
      </c>
      <c r="U261" s="28" t="str">
        <f aca="false">IF(N261="","",IF(AND(N261="수정",P261&lt;&gt;""),P261,K261))</f>
        <v/>
      </c>
      <c r="V261" s="28" t="str">
        <f aca="false">IF(N261="","",IF(N261="수정",IF(Q261&lt;&gt;"",Q261,IF(OR(U261="명시 없음",U261="유보",U261="절 아님"),"",L261)),L261))</f>
        <v/>
      </c>
    </row>
    <row r="262" customFormat="false" ht="15" hidden="false" customHeight="false" outlineLevel="0" collapsed="false">
      <c r="A262" s="24" t="s">
        <v>200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5"/>
      <c r="O262" s="25"/>
      <c r="P262" s="25"/>
      <c r="Q262" s="25"/>
      <c r="R262" s="25"/>
      <c r="S262" s="25"/>
      <c r="T262" s="28" t="str">
        <f aca="false">IF(N262="","",IF(AND(N262="수정",O262&lt;&gt;""),O262,J262))</f>
        <v/>
      </c>
      <c r="U262" s="28" t="str">
        <f aca="false">IF(N262="","",IF(AND(N262="수정",P262&lt;&gt;""),P262,K262))</f>
        <v/>
      </c>
      <c r="V262" s="28" t="str">
        <f aca="false">IF(N262="","",IF(N262="수정",IF(Q262&lt;&gt;"",Q262,IF(OR(U262="명시 없음",U262="유보",U262="절 아님"),"",L262)),L262))</f>
        <v/>
      </c>
    </row>
    <row r="263" customFormat="false" ht="15" hidden="false" customHeight="false" outlineLevel="0" collapsed="false">
      <c r="A263" s="24" t="s">
        <v>200</v>
      </c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5"/>
      <c r="O263" s="25"/>
      <c r="P263" s="25"/>
      <c r="Q263" s="25"/>
      <c r="R263" s="25"/>
      <c r="S263" s="25"/>
      <c r="T263" s="28" t="str">
        <f aca="false">IF(N263="","",IF(AND(N263="수정",O263&lt;&gt;""),O263,J263))</f>
        <v/>
      </c>
      <c r="U263" s="28" t="str">
        <f aca="false">IF(N263="","",IF(AND(N263="수정",P263&lt;&gt;""),P263,K263))</f>
        <v/>
      </c>
      <c r="V263" s="28" t="str">
        <f aca="false">IF(N263="","",IF(N263="수정",IF(Q263&lt;&gt;"",Q263,IF(OR(U263="명시 없음",U263="유보",U263="절 아님"),"",L263)),L263))</f>
        <v/>
      </c>
    </row>
    <row r="264" customFormat="false" ht="15" hidden="false" customHeight="false" outlineLevel="0" collapsed="false">
      <c r="A264" s="24" t="s">
        <v>200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5"/>
      <c r="O264" s="25"/>
      <c r="P264" s="25"/>
      <c r="Q264" s="25"/>
      <c r="R264" s="25"/>
      <c r="S264" s="25"/>
      <c r="T264" s="28" t="str">
        <f aca="false">IF(N264="","",IF(AND(N264="수정",O264&lt;&gt;""),O264,J264))</f>
        <v/>
      </c>
      <c r="U264" s="28" t="str">
        <f aca="false">IF(N264="","",IF(AND(N264="수정",P264&lt;&gt;""),P264,K264))</f>
        <v/>
      </c>
      <c r="V264" s="28" t="str">
        <f aca="false">IF(N264="","",IF(N264="수정",IF(Q264&lt;&gt;"",Q264,IF(OR(U264="명시 없음",U264="유보",U264="절 아님"),"",L264)),L264))</f>
        <v/>
      </c>
    </row>
    <row r="265" customFormat="false" ht="15" hidden="false" customHeight="false" outlineLevel="0" collapsed="false">
      <c r="A265" s="24" t="s">
        <v>200</v>
      </c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5"/>
      <c r="O265" s="25"/>
      <c r="P265" s="25"/>
      <c r="Q265" s="25"/>
      <c r="R265" s="25"/>
      <c r="S265" s="25"/>
      <c r="T265" s="28" t="str">
        <f aca="false">IF(N265="","",IF(AND(N265="수정",O265&lt;&gt;""),O265,J265))</f>
        <v/>
      </c>
      <c r="U265" s="28" t="str">
        <f aca="false">IF(N265="","",IF(AND(N265="수정",P265&lt;&gt;""),P265,K265))</f>
        <v/>
      </c>
      <c r="V265" s="28" t="str">
        <f aca="false">IF(N265="","",IF(N265="수정",IF(Q265&lt;&gt;"",Q265,IF(OR(U265="명시 없음",U265="유보",U265="절 아님"),"",L265)),L265))</f>
        <v/>
      </c>
    </row>
    <row r="266" customFormat="false" ht="15" hidden="false" customHeight="false" outlineLevel="0" collapsed="false">
      <c r="A266" s="24" t="s">
        <v>200</v>
      </c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5"/>
      <c r="O266" s="25"/>
      <c r="P266" s="25"/>
      <c r="Q266" s="25"/>
      <c r="R266" s="25"/>
      <c r="S266" s="25"/>
      <c r="T266" s="28" t="str">
        <f aca="false">IF(N266="","",IF(AND(N266="수정",O266&lt;&gt;""),O266,J266))</f>
        <v/>
      </c>
      <c r="U266" s="28" t="str">
        <f aca="false">IF(N266="","",IF(AND(N266="수정",P266&lt;&gt;""),P266,K266))</f>
        <v/>
      </c>
      <c r="V266" s="28" t="str">
        <f aca="false">IF(N266="","",IF(N266="수정",IF(Q266&lt;&gt;"",Q266,IF(OR(U266="명시 없음",U266="유보",U266="절 아님"),"",L266)),L266))</f>
        <v/>
      </c>
    </row>
    <row r="267" customFormat="false" ht="15" hidden="false" customHeight="false" outlineLevel="0" collapsed="false">
      <c r="A267" s="24" t="s">
        <v>200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5"/>
      <c r="O267" s="25"/>
      <c r="P267" s="25"/>
      <c r="Q267" s="25"/>
      <c r="R267" s="25"/>
      <c r="S267" s="25"/>
      <c r="T267" s="28" t="str">
        <f aca="false">IF(N267="","",IF(AND(N267="수정",O267&lt;&gt;""),O267,J267))</f>
        <v/>
      </c>
      <c r="U267" s="28" t="str">
        <f aca="false">IF(N267="","",IF(AND(N267="수정",P267&lt;&gt;""),P267,K267))</f>
        <v/>
      </c>
      <c r="V267" s="28" t="str">
        <f aca="false">IF(N267="","",IF(N267="수정",IF(Q267&lt;&gt;"",Q267,IF(OR(U267="명시 없음",U267="유보",U267="절 아님"),"",L267)),L267))</f>
        <v/>
      </c>
    </row>
    <row r="268" customFormat="false" ht="15" hidden="false" customHeight="false" outlineLevel="0" collapsed="false">
      <c r="A268" s="24" t="s">
        <v>200</v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5"/>
      <c r="O268" s="25"/>
      <c r="P268" s="25"/>
      <c r="Q268" s="25"/>
      <c r="R268" s="25"/>
      <c r="S268" s="25"/>
      <c r="T268" s="28" t="str">
        <f aca="false">IF(N268="","",IF(AND(N268="수정",O268&lt;&gt;""),O268,J268))</f>
        <v/>
      </c>
      <c r="U268" s="28" t="str">
        <f aca="false">IF(N268="","",IF(AND(N268="수정",P268&lt;&gt;""),P268,K268))</f>
        <v/>
      </c>
      <c r="V268" s="28" t="str">
        <f aca="false">IF(N268="","",IF(N268="수정",IF(Q268&lt;&gt;"",Q268,IF(OR(U268="명시 없음",U268="유보",U268="절 아님"),"",L268)),L268))</f>
        <v/>
      </c>
    </row>
    <row r="269" customFormat="false" ht="15" hidden="false" customHeight="false" outlineLevel="0" collapsed="false">
      <c r="A269" s="24" t="s">
        <v>200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5"/>
      <c r="O269" s="25"/>
      <c r="P269" s="25"/>
      <c r="Q269" s="25"/>
      <c r="R269" s="25"/>
      <c r="S269" s="25"/>
      <c r="T269" s="28" t="str">
        <f aca="false">IF(N269="","",IF(AND(N269="수정",O269&lt;&gt;""),O269,J269))</f>
        <v/>
      </c>
      <c r="U269" s="28" t="str">
        <f aca="false">IF(N269="","",IF(AND(N269="수정",P269&lt;&gt;""),P269,K269))</f>
        <v/>
      </c>
      <c r="V269" s="28" t="str">
        <f aca="false">IF(N269="","",IF(N269="수정",IF(Q269&lt;&gt;"",Q269,IF(OR(U269="명시 없음",U269="유보",U269="절 아님"),"",L269)),L269))</f>
        <v/>
      </c>
    </row>
    <row r="270" customFormat="false" ht="15" hidden="false" customHeight="false" outlineLevel="0" collapsed="false">
      <c r="A270" s="24" t="s">
        <v>200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5"/>
      <c r="O270" s="25"/>
      <c r="P270" s="25"/>
      <c r="Q270" s="25"/>
      <c r="R270" s="25"/>
      <c r="S270" s="25"/>
      <c r="T270" s="28" t="str">
        <f aca="false">IF(N270="","",IF(AND(N270="수정",O270&lt;&gt;""),O270,J270))</f>
        <v/>
      </c>
      <c r="U270" s="28" t="str">
        <f aca="false">IF(N270="","",IF(AND(N270="수정",P270&lt;&gt;""),P270,K270))</f>
        <v/>
      </c>
      <c r="V270" s="28" t="str">
        <f aca="false">IF(N270="","",IF(N270="수정",IF(Q270&lt;&gt;"",Q270,IF(OR(U270="명시 없음",U270="유보",U270="절 아님"),"",L270)),L270))</f>
        <v/>
      </c>
    </row>
    <row r="271" customFormat="false" ht="15" hidden="false" customHeight="false" outlineLevel="0" collapsed="false">
      <c r="A271" s="24" t="s">
        <v>200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5"/>
      <c r="O271" s="25"/>
      <c r="P271" s="25"/>
      <c r="Q271" s="25"/>
      <c r="R271" s="25"/>
      <c r="S271" s="25"/>
      <c r="T271" s="28" t="str">
        <f aca="false">IF(N271="","",IF(AND(N271="수정",O271&lt;&gt;""),O271,J271))</f>
        <v/>
      </c>
      <c r="U271" s="28" t="str">
        <f aca="false">IF(N271="","",IF(AND(N271="수정",P271&lt;&gt;""),P271,K271))</f>
        <v/>
      </c>
      <c r="V271" s="28" t="str">
        <f aca="false">IF(N271="","",IF(N271="수정",IF(Q271&lt;&gt;"",Q271,IF(OR(U271="명시 없음",U271="유보",U271="절 아님"),"",L271)),L271))</f>
        <v/>
      </c>
    </row>
    <row r="272" customFormat="false" ht="15" hidden="false" customHeight="false" outlineLevel="0" collapsed="false">
      <c r="A272" s="24" t="s">
        <v>200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5"/>
      <c r="O272" s="25"/>
      <c r="P272" s="25"/>
      <c r="Q272" s="25"/>
      <c r="R272" s="25"/>
      <c r="S272" s="25"/>
      <c r="T272" s="28" t="str">
        <f aca="false">IF(N272="","",IF(AND(N272="수정",O272&lt;&gt;""),O272,J272))</f>
        <v/>
      </c>
      <c r="U272" s="28" t="str">
        <f aca="false">IF(N272="","",IF(AND(N272="수정",P272&lt;&gt;""),P272,K272))</f>
        <v/>
      </c>
      <c r="V272" s="28" t="str">
        <f aca="false">IF(N272="","",IF(N272="수정",IF(Q272&lt;&gt;"",Q272,IF(OR(U272="명시 없음",U272="유보",U272="절 아님"),"",L272)),L272))</f>
        <v/>
      </c>
    </row>
    <row r="273" customFormat="false" ht="15" hidden="false" customHeight="false" outlineLevel="0" collapsed="false">
      <c r="A273" s="24" t="s">
        <v>200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5"/>
      <c r="O273" s="25"/>
      <c r="P273" s="25"/>
      <c r="Q273" s="25"/>
      <c r="R273" s="25"/>
      <c r="S273" s="25"/>
      <c r="T273" s="28" t="str">
        <f aca="false">IF(N273="","",IF(AND(N273="수정",O273&lt;&gt;""),O273,J273))</f>
        <v/>
      </c>
      <c r="U273" s="28" t="str">
        <f aca="false">IF(N273="","",IF(AND(N273="수정",P273&lt;&gt;""),P273,K273))</f>
        <v/>
      </c>
      <c r="V273" s="28" t="str">
        <f aca="false">IF(N273="","",IF(N273="수정",IF(Q273&lt;&gt;"",Q273,IF(OR(U273="명시 없음",U273="유보",U273="절 아님"),"",L273)),L273))</f>
        <v/>
      </c>
    </row>
    <row r="274" customFormat="false" ht="15" hidden="false" customHeight="false" outlineLevel="0" collapsed="false">
      <c r="A274" s="24" t="s">
        <v>200</v>
      </c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5"/>
      <c r="O274" s="25"/>
      <c r="P274" s="25"/>
      <c r="Q274" s="25"/>
      <c r="R274" s="25"/>
      <c r="S274" s="25"/>
      <c r="T274" s="28" t="str">
        <f aca="false">IF(N274="","",IF(AND(N274="수정",O274&lt;&gt;""),O274,J274))</f>
        <v/>
      </c>
      <c r="U274" s="28" t="str">
        <f aca="false">IF(N274="","",IF(AND(N274="수정",P274&lt;&gt;""),P274,K274))</f>
        <v/>
      </c>
      <c r="V274" s="28" t="str">
        <f aca="false">IF(N274="","",IF(N274="수정",IF(Q274&lt;&gt;"",Q274,IF(OR(U274="명시 없음",U274="유보",U274="절 아님"),"",L274)),L274))</f>
        <v/>
      </c>
    </row>
    <row r="275" customFormat="false" ht="15" hidden="false" customHeight="false" outlineLevel="0" collapsed="false">
      <c r="A275" s="24" t="s">
        <v>200</v>
      </c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5"/>
      <c r="O275" s="25"/>
      <c r="P275" s="25"/>
      <c r="Q275" s="25"/>
      <c r="R275" s="25"/>
      <c r="S275" s="25"/>
      <c r="T275" s="28" t="str">
        <f aca="false">IF(N275="","",IF(AND(N275="수정",O275&lt;&gt;""),O275,J275))</f>
        <v/>
      </c>
      <c r="U275" s="28" t="str">
        <f aca="false">IF(N275="","",IF(AND(N275="수정",P275&lt;&gt;""),P275,K275))</f>
        <v/>
      </c>
      <c r="V275" s="28" t="str">
        <f aca="false">IF(N275="","",IF(N275="수정",IF(Q275&lt;&gt;"",Q275,IF(OR(U275="명시 없음",U275="유보",U275="절 아님"),"",L275)),L275))</f>
        <v/>
      </c>
    </row>
    <row r="276" customFormat="false" ht="15" hidden="false" customHeight="false" outlineLevel="0" collapsed="false">
      <c r="A276" s="24" t="s">
        <v>200</v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5"/>
      <c r="O276" s="25"/>
      <c r="P276" s="25"/>
      <c r="Q276" s="25"/>
      <c r="R276" s="25"/>
      <c r="S276" s="25"/>
      <c r="T276" s="28" t="str">
        <f aca="false">IF(N276="","",IF(AND(N276="수정",O276&lt;&gt;""),O276,J276))</f>
        <v/>
      </c>
      <c r="U276" s="28" t="str">
        <f aca="false">IF(N276="","",IF(AND(N276="수정",P276&lt;&gt;""),P276,K276))</f>
        <v/>
      </c>
      <c r="V276" s="28" t="str">
        <f aca="false">IF(N276="","",IF(N276="수정",IF(Q276&lt;&gt;"",Q276,IF(OR(U276="명시 없음",U276="유보",U276="절 아님"),"",L276)),L276))</f>
        <v/>
      </c>
    </row>
    <row r="277" customFormat="false" ht="15" hidden="false" customHeight="false" outlineLevel="0" collapsed="false">
      <c r="A277" s="24" t="s">
        <v>200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5"/>
      <c r="O277" s="25"/>
      <c r="P277" s="25"/>
      <c r="Q277" s="25"/>
      <c r="R277" s="25"/>
      <c r="S277" s="25"/>
      <c r="T277" s="28" t="str">
        <f aca="false">IF(N277="","",IF(AND(N277="수정",O277&lt;&gt;""),O277,J277))</f>
        <v/>
      </c>
      <c r="U277" s="28" t="str">
        <f aca="false">IF(N277="","",IF(AND(N277="수정",P277&lt;&gt;""),P277,K277))</f>
        <v/>
      </c>
      <c r="V277" s="28" t="str">
        <f aca="false">IF(N277="","",IF(N277="수정",IF(Q277&lt;&gt;"",Q277,IF(OR(U277="명시 없음",U277="유보",U277="절 아님"),"",L277)),L277))</f>
        <v/>
      </c>
    </row>
    <row r="278" customFormat="false" ht="15" hidden="false" customHeight="false" outlineLevel="0" collapsed="false">
      <c r="A278" s="24" t="s">
        <v>200</v>
      </c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5"/>
      <c r="O278" s="25"/>
      <c r="P278" s="25"/>
      <c r="Q278" s="25"/>
      <c r="R278" s="25"/>
      <c r="S278" s="25"/>
      <c r="T278" s="28" t="str">
        <f aca="false">IF(N278="","",IF(AND(N278="수정",O278&lt;&gt;""),O278,J278))</f>
        <v/>
      </c>
      <c r="U278" s="28" t="str">
        <f aca="false">IF(N278="","",IF(AND(N278="수정",P278&lt;&gt;""),P278,K278))</f>
        <v/>
      </c>
      <c r="V278" s="28" t="str">
        <f aca="false">IF(N278="","",IF(N278="수정",IF(Q278&lt;&gt;"",Q278,IF(OR(U278="명시 없음",U278="유보",U278="절 아님"),"",L278)),L278))</f>
        <v/>
      </c>
    </row>
    <row r="279" customFormat="false" ht="15" hidden="false" customHeight="false" outlineLevel="0" collapsed="false">
      <c r="A279" s="24" t="s">
        <v>200</v>
      </c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5"/>
      <c r="O279" s="25"/>
      <c r="P279" s="25"/>
      <c r="Q279" s="25"/>
      <c r="R279" s="25"/>
      <c r="S279" s="25"/>
      <c r="T279" s="28" t="str">
        <f aca="false">IF(N279="","",IF(AND(N279="수정",O279&lt;&gt;""),O279,J279))</f>
        <v/>
      </c>
      <c r="U279" s="28" t="str">
        <f aca="false">IF(N279="","",IF(AND(N279="수정",P279&lt;&gt;""),P279,K279))</f>
        <v/>
      </c>
      <c r="V279" s="28" t="str">
        <f aca="false">IF(N279="","",IF(N279="수정",IF(Q279&lt;&gt;"",Q279,IF(OR(U279="명시 없음",U279="유보",U279="절 아님"),"",L279)),L279))</f>
        <v/>
      </c>
    </row>
    <row r="280" customFormat="false" ht="15" hidden="false" customHeight="false" outlineLevel="0" collapsed="false">
      <c r="A280" s="24" t="s">
        <v>200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5"/>
      <c r="O280" s="25"/>
      <c r="P280" s="25"/>
      <c r="Q280" s="25"/>
      <c r="R280" s="25"/>
      <c r="S280" s="25"/>
      <c r="T280" s="28" t="str">
        <f aca="false">IF(N280="","",IF(AND(N280="수정",O280&lt;&gt;""),O280,J280))</f>
        <v/>
      </c>
      <c r="U280" s="28" t="str">
        <f aca="false">IF(N280="","",IF(AND(N280="수정",P280&lt;&gt;""),P280,K280))</f>
        <v/>
      </c>
      <c r="V280" s="28" t="str">
        <f aca="false">IF(N280="","",IF(N280="수정",IF(Q280&lt;&gt;"",Q280,IF(OR(U280="명시 없음",U280="유보",U280="절 아님"),"",L280)),L280))</f>
        <v/>
      </c>
    </row>
    <row r="281" customFormat="false" ht="15" hidden="false" customHeight="false" outlineLevel="0" collapsed="false">
      <c r="A281" s="24" t="s">
        <v>200</v>
      </c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5"/>
      <c r="O281" s="25"/>
      <c r="P281" s="25"/>
      <c r="Q281" s="25"/>
      <c r="R281" s="25"/>
      <c r="S281" s="25"/>
      <c r="T281" s="28" t="str">
        <f aca="false">IF(N281="","",IF(AND(N281="수정",O281&lt;&gt;""),O281,J281))</f>
        <v/>
      </c>
      <c r="U281" s="28" t="str">
        <f aca="false">IF(N281="","",IF(AND(N281="수정",P281&lt;&gt;""),P281,K281))</f>
        <v/>
      </c>
      <c r="V281" s="28" t="str">
        <f aca="false">IF(N281="","",IF(N281="수정",IF(Q281&lt;&gt;"",Q281,IF(OR(U281="명시 없음",U281="유보",U281="절 아님"),"",L281)),L281))</f>
        <v/>
      </c>
    </row>
    <row r="282" customFormat="false" ht="15" hidden="false" customHeight="false" outlineLevel="0" collapsed="false">
      <c r="A282" s="24" t="s">
        <v>200</v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5"/>
      <c r="O282" s="25"/>
      <c r="P282" s="25"/>
      <c r="Q282" s="25"/>
      <c r="R282" s="25"/>
      <c r="S282" s="25"/>
      <c r="T282" s="28" t="str">
        <f aca="false">IF(N282="","",IF(AND(N282="수정",O282&lt;&gt;""),O282,J282))</f>
        <v/>
      </c>
      <c r="U282" s="28" t="str">
        <f aca="false">IF(N282="","",IF(AND(N282="수정",P282&lt;&gt;""),P282,K282))</f>
        <v/>
      </c>
      <c r="V282" s="28" t="str">
        <f aca="false">IF(N282="","",IF(N282="수정",IF(Q282&lt;&gt;"",Q282,IF(OR(U282="명시 없음",U282="유보",U282="절 아님"),"",L282)),L282))</f>
        <v/>
      </c>
    </row>
    <row r="283" customFormat="false" ht="15" hidden="false" customHeight="false" outlineLevel="0" collapsed="false">
      <c r="A283" s="24" t="s">
        <v>200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5"/>
      <c r="O283" s="25"/>
      <c r="P283" s="25"/>
      <c r="Q283" s="25"/>
      <c r="R283" s="25"/>
      <c r="S283" s="25"/>
      <c r="T283" s="28" t="str">
        <f aca="false">IF(N283="","",IF(AND(N283="수정",O283&lt;&gt;""),O283,J283))</f>
        <v/>
      </c>
      <c r="U283" s="28" t="str">
        <f aca="false">IF(N283="","",IF(AND(N283="수정",P283&lt;&gt;""),P283,K283))</f>
        <v/>
      </c>
      <c r="V283" s="28" t="str">
        <f aca="false">IF(N283="","",IF(N283="수정",IF(Q283&lt;&gt;"",Q283,IF(OR(U283="명시 없음",U283="유보",U283="절 아님"),"",L283)),L283))</f>
        <v/>
      </c>
    </row>
    <row r="284" customFormat="false" ht="15" hidden="false" customHeight="false" outlineLevel="0" collapsed="false">
      <c r="A284" s="24" t="s">
        <v>200</v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5"/>
      <c r="O284" s="25"/>
      <c r="P284" s="25"/>
      <c r="Q284" s="25"/>
      <c r="R284" s="25"/>
      <c r="S284" s="25"/>
      <c r="T284" s="28" t="str">
        <f aca="false">IF(N284="","",IF(AND(N284="수정",O284&lt;&gt;""),O284,J284))</f>
        <v/>
      </c>
      <c r="U284" s="28" t="str">
        <f aca="false">IF(N284="","",IF(AND(N284="수정",P284&lt;&gt;""),P284,K284))</f>
        <v/>
      </c>
      <c r="V284" s="28" t="str">
        <f aca="false">IF(N284="","",IF(N284="수정",IF(Q284&lt;&gt;"",Q284,IF(OR(U284="명시 없음",U284="유보",U284="절 아님"),"",L284)),L284))</f>
        <v/>
      </c>
    </row>
    <row r="285" customFormat="false" ht="15" hidden="false" customHeight="false" outlineLevel="0" collapsed="false">
      <c r="A285" s="24" t="s">
        <v>200</v>
      </c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5"/>
      <c r="O285" s="25"/>
      <c r="P285" s="25"/>
      <c r="Q285" s="25"/>
      <c r="R285" s="25"/>
      <c r="S285" s="25"/>
      <c r="T285" s="28" t="str">
        <f aca="false">IF(N285="","",IF(AND(N285="수정",O285&lt;&gt;""),O285,J285))</f>
        <v/>
      </c>
      <c r="U285" s="28" t="str">
        <f aca="false">IF(N285="","",IF(AND(N285="수정",P285&lt;&gt;""),P285,K285))</f>
        <v/>
      </c>
      <c r="V285" s="28" t="str">
        <f aca="false">IF(N285="","",IF(N285="수정",IF(Q285&lt;&gt;"",Q285,IF(OR(U285="명시 없음",U285="유보",U285="절 아님"),"",L285)),L285))</f>
        <v/>
      </c>
    </row>
    <row r="286" customFormat="false" ht="15" hidden="false" customHeight="false" outlineLevel="0" collapsed="false">
      <c r="A286" s="24" t="s">
        <v>200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5"/>
      <c r="O286" s="25"/>
      <c r="P286" s="25"/>
      <c r="Q286" s="25"/>
      <c r="R286" s="25"/>
      <c r="S286" s="25"/>
      <c r="T286" s="28" t="str">
        <f aca="false">IF(N286="","",IF(AND(N286="수정",O286&lt;&gt;""),O286,J286))</f>
        <v/>
      </c>
      <c r="U286" s="28" t="str">
        <f aca="false">IF(N286="","",IF(AND(N286="수정",P286&lt;&gt;""),P286,K286))</f>
        <v/>
      </c>
      <c r="V286" s="28" t="str">
        <f aca="false">IF(N286="","",IF(N286="수정",IF(Q286&lt;&gt;"",Q286,IF(OR(U286="명시 없음",U286="유보",U286="절 아님"),"",L286)),L286))</f>
        <v/>
      </c>
    </row>
    <row r="287" customFormat="false" ht="15" hidden="false" customHeight="false" outlineLevel="0" collapsed="false">
      <c r="A287" s="24" t="s">
        <v>200</v>
      </c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5"/>
      <c r="O287" s="25"/>
      <c r="P287" s="25"/>
      <c r="Q287" s="25"/>
      <c r="R287" s="25"/>
      <c r="S287" s="25"/>
      <c r="T287" s="28" t="str">
        <f aca="false">IF(N287="","",IF(AND(N287="수정",O287&lt;&gt;""),O287,J287))</f>
        <v/>
      </c>
      <c r="U287" s="28" t="str">
        <f aca="false">IF(N287="","",IF(AND(N287="수정",P287&lt;&gt;""),P287,K287))</f>
        <v/>
      </c>
      <c r="V287" s="28" t="str">
        <f aca="false">IF(N287="","",IF(N287="수정",IF(Q287&lt;&gt;"",Q287,IF(OR(U287="명시 없음",U287="유보",U287="절 아님"),"",L287)),L287))</f>
        <v/>
      </c>
    </row>
    <row r="288" customFormat="false" ht="15" hidden="false" customHeight="false" outlineLevel="0" collapsed="false">
      <c r="A288" s="24" t="s">
        <v>200</v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5"/>
      <c r="O288" s="25"/>
      <c r="P288" s="25"/>
      <c r="Q288" s="25"/>
      <c r="R288" s="25"/>
      <c r="S288" s="25"/>
      <c r="T288" s="28" t="str">
        <f aca="false">IF(N288="","",IF(AND(N288="수정",O288&lt;&gt;""),O288,J288))</f>
        <v/>
      </c>
      <c r="U288" s="28" t="str">
        <f aca="false">IF(N288="","",IF(AND(N288="수정",P288&lt;&gt;""),P288,K288))</f>
        <v/>
      </c>
      <c r="V288" s="28" t="str">
        <f aca="false">IF(N288="","",IF(N288="수정",IF(Q288&lt;&gt;"",Q288,IF(OR(U288="명시 없음",U288="유보",U288="절 아님"),"",L288)),L288))</f>
        <v/>
      </c>
    </row>
    <row r="289" customFormat="false" ht="15" hidden="false" customHeight="false" outlineLevel="0" collapsed="false">
      <c r="A289" s="24" t="s">
        <v>200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5"/>
      <c r="O289" s="25"/>
      <c r="P289" s="25"/>
      <c r="Q289" s="25"/>
      <c r="R289" s="25"/>
      <c r="S289" s="25"/>
      <c r="T289" s="28" t="str">
        <f aca="false">IF(N289="","",IF(AND(N289="수정",O289&lt;&gt;""),O289,J289))</f>
        <v/>
      </c>
      <c r="U289" s="28" t="str">
        <f aca="false">IF(N289="","",IF(AND(N289="수정",P289&lt;&gt;""),P289,K289))</f>
        <v/>
      </c>
      <c r="V289" s="28" t="str">
        <f aca="false">IF(N289="","",IF(N289="수정",IF(Q289&lt;&gt;"",Q289,IF(OR(U289="명시 없음",U289="유보",U289="절 아님"),"",L289)),L289))</f>
        <v/>
      </c>
    </row>
    <row r="290" customFormat="false" ht="15" hidden="false" customHeight="false" outlineLevel="0" collapsed="false">
      <c r="A290" s="24" t="s">
        <v>200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5"/>
      <c r="O290" s="25"/>
      <c r="P290" s="25"/>
      <c r="Q290" s="25"/>
      <c r="R290" s="25"/>
      <c r="S290" s="25"/>
      <c r="T290" s="28" t="str">
        <f aca="false">IF(N290="","",IF(AND(N290="수정",O290&lt;&gt;""),O290,J290))</f>
        <v/>
      </c>
      <c r="U290" s="28" t="str">
        <f aca="false">IF(N290="","",IF(AND(N290="수정",P290&lt;&gt;""),P290,K290))</f>
        <v/>
      </c>
      <c r="V290" s="28" t="str">
        <f aca="false">IF(N290="","",IF(N290="수정",IF(Q290&lt;&gt;"",Q290,IF(OR(U290="명시 없음",U290="유보",U290="절 아님"),"",L290)),L290))</f>
        <v/>
      </c>
    </row>
    <row r="291" customFormat="false" ht="15" hidden="false" customHeight="false" outlineLevel="0" collapsed="false">
      <c r="A291" s="24" t="s">
        <v>200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5"/>
      <c r="O291" s="25"/>
      <c r="P291" s="25"/>
      <c r="Q291" s="25"/>
      <c r="R291" s="25"/>
      <c r="S291" s="25"/>
      <c r="T291" s="28" t="str">
        <f aca="false">IF(N291="","",IF(AND(N291="수정",O291&lt;&gt;""),O291,J291))</f>
        <v/>
      </c>
      <c r="U291" s="28" t="str">
        <f aca="false">IF(N291="","",IF(AND(N291="수정",P291&lt;&gt;""),P291,K291))</f>
        <v/>
      </c>
      <c r="V291" s="28" t="str">
        <f aca="false">IF(N291="","",IF(N291="수정",IF(Q291&lt;&gt;"",Q291,IF(OR(U291="명시 없음",U291="유보",U291="절 아님"),"",L291)),L291))</f>
        <v/>
      </c>
    </row>
    <row r="292" customFormat="false" ht="15" hidden="false" customHeight="false" outlineLevel="0" collapsed="false">
      <c r="A292" s="24" t="s">
        <v>200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5"/>
      <c r="O292" s="25"/>
      <c r="P292" s="25"/>
      <c r="Q292" s="25"/>
      <c r="R292" s="25"/>
      <c r="S292" s="25"/>
      <c r="T292" s="28" t="str">
        <f aca="false">IF(N292="","",IF(AND(N292="수정",O292&lt;&gt;""),O292,J292))</f>
        <v/>
      </c>
      <c r="U292" s="28" t="str">
        <f aca="false">IF(N292="","",IF(AND(N292="수정",P292&lt;&gt;""),P292,K292))</f>
        <v/>
      </c>
      <c r="V292" s="28" t="str">
        <f aca="false">IF(N292="","",IF(N292="수정",IF(Q292&lt;&gt;"",Q292,IF(OR(U292="명시 없음",U292="유보",U292="절 아님"),"",L292)),L292))</f>
        <v/>
      </c>
    </row>
    <row r="293" customFormat="false" ht="15" hidden="false" customHeight="false" outlineLevel="0" collapsed="false">
      <c r="A293" s="24" t="s">
        <v>200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5"/>
      <c r="O293" s="25"/>
      <c r="P293" s="25"/>
      <c r="Q293" s="25"/>
      <c r="R293" s="25"/>
      <c r="S293" s="25"/>
      <c r="T293" s="28" t="str">
        <f aca="false">IF(N293="","",IF(AND(N293="수정",O293&lt;&gt;""),O293,J293))</f>
        <v/>
      </c>
      <c r="U293" s="28" t="str">
        <f aca="false">IF(N293="","",IF(AND(N293="수정",P293&lt;&gt;""),P293,K293))</f>
        <v/>
      </c>
      <c r="V293" s="28" t="str">
        <f aca="false">IF(N293="","",IF(N293="수정",IF(Q293&lt;&gt;"",Q293,IF(OR(U293="명시 없음",U293="유보",U293="절 아님"),"",L293)),L293))</f>
        <v/>
      </c>
    </row>
    <row r="294" customFormat="false" ht="15" hidden="false" customHeight="false" outlineLevel="0" collapsed="false">
      <c r="A294" s="24" t="s">
        <v>200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5"/>
      <c r="O294" s="25"/>
      <c r="P294" s="25"/>
      <c r="Q294" s="25"/>
      <c r="R294" s="25"/>
      <c r="S294" s="25"/>
      <c r="T294" s="28" t="str">
        <f aca="false">IF(N294="","",IF(AND(N294="수정",O294&lt;&gt;""),O294,J294))</f>
        <v/>
      </c>
      <c r="U294" s="28" t="str">
        <f aca="false">IF(N294="","",IF(AND(N294="수정",P294&lt;&gt;""),P294,K294))</f>
        <v/>
      </c>
      <c r="V294" s="28" t="str">
        <f aca="false">IF(N294="","",IF(N294="수정",IF(Q294&lt;&gt;"",Q294,IF(OR(U294="명시 없음",U294="유보",U294="절 아님"),"",L294)),L294))</f>
        <v/>
      </c>
    </row>
    <row r="295" customFormat="false" ht="15" hidden="false" customHeight="false" outlineLevel="0" collapsed="false">
      <c r="A295" s="24" t="s">
        <v>200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5"/>
      <c r="O295" s="25"/>
      <c r="P295" s="25"/>
      <c r="Q295" s="25"/>
      <c r="R295" s="25"/>
      <c r="S295" s="25"/>
      <c r="T295" s="28" t="str">
        <f aca="false">IF(N295="","",IF(AND(N295="수정",O295&lt;&gt;""),O295,J295))</f>
        <v/>
      </c>
      <c r="U295" s="28" t="str">
        <f aca="false">IF(N295="","",IF(AND(N295="수정",P295&lt;&gt;""),P295,K295))</f>
        <v/>
      </c>
      <c r="V295" s="28" t="str">
        <f aca="false">IF(N295="","",IF(N295="수정",IF(Q295&lt;&gt;"",Q295,IF(OR(U295="명시 없음",U295="유보",U295="절 아님"),"",L295)),L295))</f>
        <v/>
      </c>
    </row>
    <row r="296" customFormat="false" ht="15" hidden="false" customHeight="false" outlineLevel="0" collapsed="false">
      <c r="A296" s="24" t="s">
        <v>200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5"/>
      <c r="O296" s="25"/>
      <c r="P296" s="25"/>
      <c r="Q296" s="25"/>
      <c r="R296" s="25"/>
      <c r="S296" s="25"/>
      <c r="T296" s="28" t="str">
        <f aca="false">IF(N296="","",IF(AND(N296="수정",O296&lt;&gt;""),O296,J296))</f>
        <v/>
      </c>
      <c r="U296" s="28" t="str">
        <f aca="false">IF(N296="","",IF(AND(N296="수정",P296&lt;&gt;""),P296,K296))</f>
        <v/>
      </c>
      <c r="V296" s="28" t="str">
        <f aca="false">IF(N296="","",IF(N296="수정",IF(Q296&lt;&gt;"",Q296,IF(OR(U296="명시 없음",U296="유보",U296="절 아님"),"",L296)),L296))</f>
        <v/>
      </c>
    </row>
    <row r="297" customFormat="false" ht="15" hidden="false" customHeight="false" outlineLevel="0" collapsed="false">
      <c r="A297" s="24" t="s">
        <v>200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5"/>
      <c r="O297" s="25"/>
      <c r="P297" s="25"/>
      <c r="Q297" s="25"/>
      <c r="R297" s="25"/>
      <c r="S297" s="25"/>
      <c r="T297" s="28" t="str">
        <f aca="false">IF(N297="","",IF(AND(N297="수정",O297&lt;&gt;""),O297,J297))</f>
        <v/>
      </c>
      <c r="U297" s="28" t="str">
        <f aca="false">IF(N297="","",IF(AND(N297="수정",P297&lt;&gt;""),P297,K297))</f>
        <v/>
      </c>
      <c r="V297" s="28" t="str">
        <f aca="false">IF(N297="","",IF(N297="수정",IF(Q297&lt;&gt;"",Q297,IF(OR(U297="명시 없음",U297="유보",U297="절 아님"),"",L297)),L297))</f>
        <v/>
      </c>
    </row>
    <row r="298" customFormat="false" ht="15" hidden="false" customHeight="false" outlineLevel="0" collapsed="false">
      <c r="A298" s="24" t="s">
        <v>200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5"/>
      <c r="O298" s="25"/>
      <c r="P298" s="25"/>
      <c r="Q298" s="25"/>
      <c r="R298" s="25"/>
      <c r="S298" s="25"/>
      <c r="T298" s="28" t="str">
        <f aca="false">IF(N298="","",IF(AND(N298="수정",O298&lt;&gt;""),O298,J298))</f>
        <v/>
      </c>
      <c r="U298" s="28" t="str">
        <f aca="false">IF(N298="","",IF(AND(N298="수정",P298&lt;&gt;""),P298,K298))</f>
        <v/>
      </c>
      <c r="V298" s="28" t="str">
        <f aca="false">IF(N298="","",IF(N298="수정",IF(Q298&lt;&gt;"",Q298,IF(OR(U298="명시 없음",U298="유보",U298="절 아님"),"",L298)),L298))</f>
        <v/>
      </c>
    </row>
    <row r="299" customFormat="false" ht="15" hidden="false" customHeight="false" outlineLevel="0" collapsed="false">
      <c r="A299" s="24" t="s">
        <v>200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5"/>
      <c r="O299" s="25"/>
      <c r="P299" s="25"/>
      <c r="Q299" s="25"/>
      <c r="R299" s="25"/>
      <c r="S299" s="25"/>
      <c r="T299" s="28" t="str">
        <f aca="false">IF(N299="","",IF(AND(N299="수정",O299&lt;&gt;""),O299,J299))</f>
        <v/>
      </c>
      <c r="U299" s="28" t="str">
        <f aca="false">IF(N299="","",IF(AND(N299="수정",P299&lt;&gt;""),P299,K299))</f>
        <v/>
      </c>
      <c r="V299" s="28" t="str">
        <f aca="false">IF(N299="","",IF(N299="수정",IF(Q299&lt;&gt;"",Q299,IF(OR(U299="명시 없음",U299="유보",U299="절 아님"),"",L299)),L299))</f>
        <v/>
      </c>
    </row>
    <row r="300" customFormat="false" ht="15" hidden="false" customHeight="false" outlineLevel="0" collapsed="false">
      <c r="A300" s="24" t="s">
        <v>200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5"/>
      <c r="O300" s="25"/>
      <c r="P300" s="25"/>
      <c r="Q300" s="25"/>
      <c r="R300" s="25"/>
      <c r="S300" s="25"/>
      <c r="T300" s="28" t="str">
        <f aca="false">IF(N300="","",IF(AND(N300="수정",O300&lt;&gt;""),O300,J300))</f>
        <v/>
      </c>
      <c r="U300" s="28" t="str">
        <f aca="false">IF(N300="","",IF(AND(N300="수정",P300&lt;&gt;""),P300,K300))</f>
        <v/>
      </c>
      <c r="V300" s="28" t="str">
        <f aca="false">IF(N300="","",IF(N300="수정",IF(Q300&lt;&gt;"",Q300,IF(OR(U300="명시 없음",U300="유보",U300="절 아님"),"",L300)),L300))</f>
        <v/>
      </c>
    </row>
    <row r="301" customFormat="false" ht="15" hidden="false" customHeight="false" outlineLevel="0" collapsed="false">
      <c r="A301" s="24" t="s">
        <v>200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5"/>
      <c r="O301" s="25"/>
      <c r="P301" s="25"/>
      <c r="Q301" s="25"/>
      <c r="R301" s="25"/>
      <c r="S301" s="25"/>
      <c r="T301" s="28" t="str">
        <f aca="false">IF(N301="","",IF(AND(N301="수정",O301&lt;&gt;""),O301,J301))</f>
        <v/>
      </c>
      <c r="U301" s="28" t="str">
        <f aca="false">IF(N301="","",IF(AND(N301="수정",P301&lt;&gt;""),P301,K301))</f>
        <v/>
      </c>
      <c r="V301" s="28" t="str">
        <f aca="false">IF(N301="","",IF(N301="수정",IF(Q301&lt;&gt;"",Q301,IF(OR(U301="명시 없음",U301="유보",U301="절 아님"),"",L301)),L301))</f>
        <v/>
      </c>
    </row>
    <row r="302" customFormat="false" ht="15" hidden="false" customHeight="false" outlineLevel="0" collapsed="false">
      <c r="A302" s="24" t="s">
        <v>200</v>
      </c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5"/>
      <c r="O302" s="25"/>
      <c r="P302" s="25"/>
      <c r="Q302" s="25"/>
      <c r="R302" s="25"/>
      <c r="S302" s="25"/>
      <c r="T302" s="28" t="str">
        <f aca="false">IF(N302="","",IF(AND(N302="수정",O302&lt;&gt;""),O302,J302))</f>
        <v/>
      </c>
      <c r="U302" s="28" t="str">
        <f aca="false">IF(N302="","",IF(AND(N302="수정",P302&lt;&gt;""),P302,K302))</f>
        <v/>
      </c>
      <c r="V302" s="28" t="str">
        <f aca="false">IF(N302="","",IF(N302="수정",IF(Q302&lt;&gt;"",Q302,IF(OR(U302="명시 없음",U302="유보",U302="절 아님"),"",L302)),L302))</f>
        <v/>
      </c>
    </row>
    <row r="303" customFormat="false" ht="15" hidden="false" customHeight="false" outlineLevel="0" collapsed="false">
      <c r="A303" s="24" t="s">
        <v>200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5"/>
      <c r="O303" s="25"/>
      <c r="P303" s="25"/>
      <c r="Q303" s="25"/>
      <c r="R303" s="25"/>
      <c r="S303" s="25"/>
      <c r="T303" s="28" t="str">
        <f aca="false">IF(N303="","",IF(AND(N303="수정",O303&lt;&gt;""),O303,J303))</f>
        <v/>
      </c>
      <c r="U303" s="28" t="str">
        <f aca="false">IF(N303="","",IF(AND(N303="수정",P303&lt;&gt;""),P303,K303))</f>
        <v/>
      </c>
      <c r="V303" s="28" t="str">
        <f aca="false">IF(N303="","",IF(N303="수정",IF(Q303&lt;&gt;"",Q303,IF(OR(U303="명시 없음",U303="유보",U303="절 아님"),"",L303)),L303))</f>
        <v/>
      </c>
    </row>
    <row r="304" customFormat="false" ht="15" hidden="false" customHeight="false" outlineLevel="0" collapsed="false">
      <c r="A304" s="24" t="s">
        <v>200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5"/>
      <c r="O304" s="25"/>
      <c r="P304" s="25"/>
      <c r="Q304" s="25"/>
      <c r="R304" s="25"/>
      <c r="S304" s="25"/>
      <c r="T304" s="28" t="str">
        <f aca="false">IF(N304="","",IF(AND(N304="수정",O304&lt;&gt;""),O304,J304))</f>
        <v/>
      </c>
      <c r="U304" s="28" t="str">
        <f aca="false">IF(N304="","",IF(AND(N304="수정",P304&lt;&gt;""),P304,K304))</f>
        <v/>
      </c>
      <c r="V304" s="28" t="str">
        <f aca="false">IF(N304="","",IF(N304="수정",IF(Q304&lt;&gt;"",Q304,IF(OR(U304="명시 없음",U304="유보",U304="절 아님"),"",L304)),L304))</f>
        <v/>
      </c>
    </row>
    <row r="305" customFormat="false" ht="15" hidden="false" customHeight="false" outlineLevel="0" collapsed="false">
      <c r="A305" s="24" t="s">
        <v>200</v>
      </c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5"/>
      <c r="O305" s="25"/>
      <c r="P305" s="25"/>
      <c r="Q305" s="25"/>
      <c r="R305" s="25"/>
      <c r="S305" s="25"/>
      <c r="T305" s="28" t="str">
        <f aca="false">IF(N305="","",IF(AND(N305="수정",O305&lt;&gt;""),O305,J305))</f>
        <v/>
      </c>
      <c r="U305" s="28" t="str">
        <f aca="false">IF(N305="","",IF(AND(N305="수정",P305&lt;&gt;""),P305,K305))</f>
        <v/>
      </c>
      <c r="V305" s="28" t="str">
        <f aca="false">IF(N305="","",IF(N305="수정",IF(Q305&lt;&gt;"",Q305,IF(OR(U305="명시 없음",U305="유보",U305="절 아님"),"",L305)),L305))</f>
        <v/>
      </c>
    </row>
    <row r="306" customFormat="false" ht="15" hidden="false" customHeight="false" outlineLevel="0" collapsed="false">
      <c r="A306" s="24" t="s">
        <v>200</v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5"/>
      <c r="O306" s="25"/>
      <c r="P306" s="25"/>
      <c r="Q306" s="25"/>
      <c r="R306" s="25"/>
      <c r="S306" s="25"/>
      <c r="T306" s="28" t="str">
        <f aca="false">IF(N306="","",IF(AND(N306="수정",O306&lt;&gt;""),O306,J306))</f>
        <v/>
      </c>
      <c r="U306" s="28" t="str">
        <f aca="false">IF(N306="","",IF(AND(N306="수정",P306&lt;&gt;""),P306,K306))</f>
        <v/>
      </c>
      <c r="V306" s="28" t="str">
        <f aca="false">IF(N306="","",IF(N306="수정",IF(Q306&lt;&gt;"",Q306,IF(OR(U306="명시 없음",U306="유보",U306="절 아님"),"",L306)),L306))</f>
        <v/>
      </c>
    </row>
    <row r="307" customFormat="false" ht="15" hidden="false" customHeight="false" outlineLevel="0" collapsed="false">
      <c r="A307" s="24" t="s">
        <v>200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5"/>
      <c r="O307" s="25"/>
      <c r="P307" s="25"/>
      <c r="Q307" s="25"/>
      <c r="R307" s="25"/>
      <c r="S307" s="25"/>
      <c r="T307" s="28" t="str">
        <f aca="false">IF(N307="","",IF(AND(N307="수정",O307&lt;&gt;""),O307,J307))</f>
        <v/>
      </c>
      <c r="U307" s="28" t="str">
        <f aca="false">IF(N307="","",IF(AND(N307="수정",P307&lt;&gt;""),P307,K307))</f>
        <v/>
      </c>
      <c r="V307" s="28" t="str">
        <f aca="false">IF(N307="","",IF(N307="수정",IF(Q307&lt;&gt;"",Q307,IF(OR(U307="명시 없음",U307="유보",U307="절 아님"),"",L307)),L307))</f>
        <v/>
      </c>
    </row>
    <row r="308" customFormat="false" ht="15" hidden="false" customHeight="false" outlineLevel="0" collapsed="false">
      <c r="A308" s="24" t="s">
        <v>200</v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5"/>
      <c r="O308" s="25"/>
      <c r="P308" s="25"/>
      <c r="Q308" s="25"/>
      <c r="R308" s="25"/>
      <c r="S308" s="25"/>
      <c r="T308" s="28" t="str">
        <f aca="false">IF(N308="","",IF(AND(N308="수정",O308&lt;&gt;""),O308,J308))</f>
        <v/>
      </c>
      <c r="U308" s="28" t="str">
        <f aca="false">IF(N308="","",IF(AND(N308="수정",P308&lt;&gt;""),P308,K308))</f>
        <v/>
      </c>
      <c r="V308" s="28" t="str">
        <f aca="false">IF(N308="","",IF(N308="수정",IF(Q308&lt;&gt;"",Q308,IF(OR(U308="명시 없음",U308="유보",U308="절 아님"),"",L308)),L308))</f>
        <v/>
      </c>
    </row>
    <row r="309" customFormat="false" ht="15" hidden="false" customHeight="false" outlineLevel="0" collapsed="false">
      <c r="A309" s="24" t="s">
        <v>200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5"/>
      <c r="O309" s="25"/>
      <c r="P309" s="25"/>
      <c r="Q309" s="25"/>
      <c r="R309" s="25"/>
      <c r="S309" s="25"/>
      <c r="T309" s="28" t="str">
        <f aca="false">IF(N309="","",IF(AND(N309="수정",O309&lt;&gt;""),O309,J309))</f>
        <v/>
      </c>
      <c r="U309" s="28" t="str">
        <f aca="false">IF(N309="","",IF(AND(N309="수정",P309&lt;&gt;""),P309,K309))</f>
        <v/>
      </c>
      <c r="V309" s="28" t="str">
        <f aca="false">IF(N309="","",IF(N309="수정",IF(Q309&lt;&gt;"",Q309,IF(OR(U309="명시 없음",U309="유보",U309="절 아님"),"",L309)),L309))</f>
        <v/>
      </c>
    </row>
    <row r="310" customFormat="false" ht="15" hidden="false" customHeight="false" outlineLevel="0" collapsed="false">
      <c r="A310" s="24" t="s">
        <v>200</v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5"/>
      <c r="O310" s="25"/>
      <c r="P310" s="25"/>
      <c r="Q310" s="25"/>
      <c r="R310" s="25"/>
      <c r="S310" s="25"/>
      <c r="T310" s="28" t="str">
        <f aca="false">IF(N310="","",IF(AND(N310="수정",O310&lt;&gt;""),O310,J310))</f>
        <v/>
      </c>
      <c r="U310" s="28" t="str">
        <f aca="false">IF(N310="","",IF(AND(N310="수정",P310&lt;&gt;""),P310,K310))</f>
        <v/>
      </c>
      <c r="V310" s="28" t="str">
        <f aca="false">IF(N310="","",IF(N310="수정",IF(Q310&lt;&gt;"",Q310,IF(OR(U310="명시 없음",U310="유보",U310="절 아님"),"",L310)),L310))</f>
        <v/>
      </c>
    </row>
    <row r="311" customFormat="false" ht="15" hidden="false" customHeight="false" outlineLevel="0" collapsed="false">
      <c r="A311" s="24" t="s">
        <v>200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5"/>
      <c r="O311" s="25"/>
      <c r="P311" s="25"/>
      <c r="Q311" s="25"/>
      <c r="R311" s="25"/>
      <c r="S311" s="25"/>
      <c r="T311" s="28" t="str">
        <f aca="false">IF(N311="","",IF(AND(N311="수정",O311&lt;&gt;""),O311,J311))</f>
        <v/>
      </c>
      <c r="U311" s="28" t="str">
        <f aca="false">IF(N311="","",IF(AND(N311="수정",P311&lt;&gt;""),P311,K311))</f>
        <v/>
      </c>
      <c r="V311" s="28" t="str">
        <f aca="false">IF(N311="","",IF(N311="수정",IF(Q311&lt;&gt;"",Q311,IF(OR(U311="명시 없음",U311="유보",U311="절 아님"),"",L311)),L311))</f>
        <v/>
      </c>
    </row>
    <row r="312" customFormat="false" ht="15" hidden="false" customHeight="false" outlineLevel="0" collapsed="false">
      <c r="A312" s="24" t="s">
        <v>200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5"/>
      <c r="O312" s="25"/>
      <c r="P312" s="25"/>
      <c r="Q312" s="25"/>
      <c r="R312" s="25"/>
      <c r="S312" s="25"/>
      <c r="T312" s="28" t="str">
        <f aca="false">IF(N312="","",IF(AND(N312="수정",O312&lt;&gt;""),O312,J312))</f>
        <v/>
      </c>
      <c r="U312" s="28" t="str">
        <f aca="false">IF(N312="","",IF(AND(N312="수정",P312&lt;&gt;""),P312,K312))</f>
        <v/>
      </c>
      <c r="V312" s="28" t="str">
        <f aca="false">IF(N312="","",IF(N312="수정",IF(Q312&lt;&gt;"",Q312,IF(OR(U312="명시 없음",U312="유보",U312="절 아님"),"",L312)),L312))</f>
        <v/>
      </c>
    </row>
    <row r="313" customFormat="false" ht="15" hidden="false" customHeight="false" outlineLevel="0" collapsed="false">
      <c r="A313" s="24" t="s">
        <v>200</v>
      </c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5"/>
      <c r="O313" s="25"/>
      <c r="P313" s="25"/>
      <c r="Q313" s="25"/>
      <c r="R313" s="25"/>
      <c r="S313" s="25"/>
      <c r="T313" s="28" t="str">
        <f aca="false">IF(N313="","",IF(AND(N313="수정",O313&lt;&gt;""),O313,J313))</f>
        <v/>
      </c>
      <c r="U313" s="28" t="str">
        <f aca="false">IF(N313="","",IF(AND(N313="수정",P313&lt;&gt;""),P313,K313))</f>
        <v/>
      </c>
      <c r="V313" s="28" t="str">
        <f aca="false">IF(N313="","",IF(N313="수정",IF(Q313&lt;&gt;"",Q313,IF(OR(U313="명시 없음",U313="유보",U313="절 아님"),"",L313)),L313))</f>
        <v/>
      </c>
    </row>
    <row r="314" customFormat="false" ht="15" hidden="false" customHeight="false" outlineLevel="0" collapsed="false">
      <c r="A314" s="24" t="s">
        <v>200</v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5"/>
      <c r="O314" s="25"/>
      <c r="P314" s="25"/>
      <c r="Q314" s="25"/>
      <c r="R314" s="25"/>
      <c r="S314" s="25"/>
      <c r="T314" s="28" t="str">
        <f aca="false">IF(N314="","",IF(AND(N314="수정",O314&lt;&gt;""),O314,J314))</f>
        <v/>
      </c>
      <c r="U314" s="28" t="str">
        <f aca="false">IF(N314="","",IF(AND(N314="수정",P314&lt;&gt;""),P314,K314))</f>
        <v/>
      </c>
      <c r="V314" s="28" t="str">
        <f aca="false">IF(N314="","",IF(N314="수정",IF(Q314&lt;&gt;"",Q314,IF(OR(U314="명시 없음",U314="유보",U314="절 아님"),"",L314)),L314))</f>
        <v/>
      </c>
    </row>
    <row r="315" customFormat="false" ht="15" hidden="false" customHeight="false" outlineLevel="0" collapsed="false">
      <c r="A315" s="24" t="s">
        <v>200</v>
      </c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5"/>
      <c r="O315" s="25"/>
      <c r="P315" s="25"/>
      <c r="Q315" s="25"/>
      <c r="R315" s="25"/>
      <c r="S315" s="25"/>
      <c r="T315" s="28" t="str">
        <f aca="false">IF(N315="","",IF(AND(N315="수정",O315&lt;&gt;""),O315,J315))</f>
        <v/>
      </c>
      <c r="U315" s="28" t="str">
        <f aca="false">IF(N315="","",IF(AND(N315="수정",P315&lt;&gt;""),P315,K315))</f>
        <v/>
      </c>
      <c r="V315" s="28" t="str">
        <f aca="false">IF(N315="","",IF(N315="수정",IF(Q315&lt;&gt;"",Q315,IF(OR(U315="명시 없음",U315="유보",U315="절 아님"),"",L315)),L315))</f>
        <v/>
      </c>
    </row>
    <row r="316" customFormat="false" ht="15" hidden="false" customHeight="false" outlineLevel="0" collapsed="false">
      <c r="A316" s="24" t="s">
        <v>200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5"/>
      <c r="O316" s="25"/>
      <c r="P316" s="25"/>
      <c r="Q316" s="25"/>
      <c r="R316" s="25"/>
      <c r="S316" s="25"/>
      <c r="T316" s="28" t="str">
        <f aca="false">IF(N316="","",IF(AND(N316="수정",O316&lt;&gt;""),O316,J316))</f>
        <v/>
      </c>
      <c r="U316" s="28" t="str">
        <f aca="false">IF(N316="","",IF(AND(N316="수정",P316&lt;&gt;""),P316,K316))</f>
        <v/>
      </c>
      <c r="V316" s="28" t="str">
        <f aca="false">IF(N316="","",IF(N316="수정",IF(Q316&lt;&gt;"",Q316,IF(OR(U316="명시 없음",U316="유보",U316="절 아님"),"",L316)),L316))</f>
        <v/>
      </c>
    </row>
    <row r="317" customFormat="false" ht="15" hidden="false" customHeight="false" outlineLevel="0" collapsed="false">
      <c r="A317" s="24" t="s">
        <v>200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5"/>
      <c r="O317" s="25"/>
      <c r="P317" s="25"/>
      <c r="Q317" s="25"/>
      <c r="R317" s="25"/>
      <c r="S317" s="25"/>
      <c r="T317" s="28" t="str">
        <f aca="false">IF(N317="","",IF(AND(N317="수정",O317&lt;&gt;""),O317,J317))</f>
        <v/>
      </c>
      <c r="U317" s="28" t="str">
        <f aca="false">IF(N317="","",IF(AND(N317="수정",P317&lt;&gt;""),P317,K317))</f>
        <v/>
      </c>
      <c r="V317" s="28" t="str">
        <f aca="false">IF(N317="","",IF(N317="수정",IF(Q317&lt;&gt;"",Q317,IF(OR(U317="명시 없음",U317="유보",U317="절 아님"),"",L317)),L317))</f>
        <v/>
      </c>
    </row>
    <row r="318" customFormat="false" ht="15" hidden="false" customHeight="false" outlineLevel="0" collapsed="false">
      <c r="A318" s="24" t="s">
        <v>200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5"/>
      <c r="O318" s="25"/>
      <c r="P318" s="25"/>
      <c r="Q318" s="25"/>
      <c r="R318" s="25"/>
      <c r="S318" s="25"/>
      <c r="T318" s="28" t="str">
        <f aca="false">IF(N318="","",IF(AND(N318="수정",O318&lt;&gt;""),O318,J318))</f>
        <v/>
      </c>
      <c r="U318" s="28" t="str">
        <f aca="false">IF(N318="","",IF(AND(N318="수정",P318&lt;&gt;""),P318,K318))</f>
        <v/>
      </c>
      <c r="V318" s="28" t="str">
        <f aca="false">IF(N318="","",IF(N318="수정",IF(Q318&lt;&gt;"",Q318,IF(OR(U318="명시 없음",U318="유보",U318="절 아님"),"",L318)),L318))</f>
        <v/>
      </c>
    </row>
    <row r="319" customFormat="false" ht="15" hidden="false" customHeight="false" outlineLevel="0" collapsed="false">
      <c r="A319" s="24" t="s">
        <v>200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5"/>
      <c r="O319" s="25"/>
      <c r="P319" s="25"/>
      <c r="Q319" s="25"/>
      <c r="R319" s="25"/>
      <c r="S319" s="25"/>
      <c r="T319" s="28" t="str">
        <f aca="false">IF(N319="","",IF(AND(N319="수정",O319&lt;&gt;""),O319,J319))</f>
        <v/>
      </c>
      <c r="U319" s="28" t="str">
        <f aca="false">IF(N319="","",IF(AND(N319="수정",P319&lt;&gt;""),P319,K319))</f>
        <v/>
      </c>
      <c r="V319" s="28" t="str">
        <f aca="false">IF(N319="","",IF(N319="수정",IF(Q319&lt;&gt;"",Q319,IF(OR(U319="명시 없음",U319="유보",U319="절 아님"),"",L319)),L319))</f>
        <v/>
      </c>
    </row>
    <row r="320" customFormat="false" ht="15" hidden="false" customHeight="false" outlineLevel="0" collapsed="false">
      <c r="A320" s="24" t="s">
        <v>200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5"/>
      <c r="O320" s="25"/>
      <c r="P320" s="25"/>
      <c r="Q320" s="25"/>
      <c r="R320" s="25"/>
      <c r="S320" s="25"/>
      <c r="T320" s="28" t="str">
        <f aca="false">IF(N320="","",IF(AND(N320="수정",O320&lt;&gt;""),O320,J320))</f>
        <v/>
      </c>
      <c r="U320" s="28" t="str">
        <f aca="false">IF(N320="","",IF(AND(N320="수정",P320&lt;&gt;""),P320,K320))</f>
        <v/>
      </c>
      <c r="V320" s="28" t="str">
        <f aca="false">IF(N320="","",IF(N320="수정",IF(Q320&lt;&gt;"",Q320,IF(OR(U320="명시 없음",U320="유보",U320="절 아님"),"",L320)),L320))</f>
        <v/>
      </c>
    </row>
    <row r="321" customFormat="false" ht="15" hidden="false" customHeight="false" outlineLevel="0" collapsed="false">
      <c r="A321" s="24" t="s">
        <v>200</v>
      </c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5"/>
      <c r="O321" s="25"/>
      <c r="P321" s="25"/>
      <c r="Q321" s="25"/>
      <c r="R321" s="25"/>
      <c r="S321" s="25"/>
      <c r="T321" s="28" t="str">
        <f aca="false">IF(N321="","",IF(AND(N321="수정",O321&lt;&gt;""),O321,J321))</f>
        <v/>
      </c>
      <c r="U321" s="28" t="str">
        <f aca="false">IF(N321="","",IF(AND(N321="수정",P321&lt;&gt;""),P321,K321))</f>
        <v/>
      </c>
      <c r="V321" s="28" t="str">
        <f aca="false">IF(N321="","",IF(N321="수정",IF(Q321&lt;&gt;"",Q321,IF(OR(U321="명시 없음",U321="유보",U321="절 아님"),"",L321)),L321))</f>
        <v/>
      </c>
    </row>
    <row r="322" customFormat="false" ht="15" hidden="false" customHeight="false" outlineLevel="0" collapsed="false">
      <c r="A322" s="24" t="s">
        <v>200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5"/>
      <c r="O322" s="25"/>
      <c r="P322" s="25"/>
      <c r="Q322" s="25"/>
      <c r="R322" s="25"/>
      <c r="S322" s="25"/>
      <c r="T322" s="28" t="str">
        <f aca="false">IF(N322="","",IF(AND(N322="수정",O322&lt;&gt;""),O322,J322))</f>
        <v/>
      </c>
      <c r="U322" s="28" t="str">
        <f aca="false">IF(N322="","",IF(AND(N322="수정",P322&lt;&gt;""),P322,K322))</f>
        <v/>
      </c>
      <c r="V322" s="28" t="str">
        <f aca="false">IF(N322="","",IF(N322="수정",IF(Q322&lt;&gt;"",Q322,IF(OR(U322="명시 없음",U322="유보",U322="절 아님"),"",L322)),L322))</f>
        <v/>
      </c>
    </row>
    <row r="323" customFormat="false" ht="15" hidden="false" customHeight="false" outlineLevel="0" collapsed="false">
      <c r="A323" s="24" t="s">
        <v>200</v>
      </c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5"/>
      <c r="O323" s="25"/>
      <c r="P323" s="25"/>
      <c r="Q323" s="25"/>
      <c r="R323" s="25"/>
      <c r="S323" s="25"/>
      <c r="T323" s="28" t="str">
        <f aca="false">IF(N323="","",IF(AND(N323="수정",O323&lt;&gt;""),O323,J323))</f>
        <v/>
      </c>
      <c r="U323" s="28" t="str">
        <f aca="false">IF(N323="","",IF(AND(N323="수정",P323&lt;&gt;""),P323,K323))</f>
        <v/>
      </c>
      <c r="V323" s="28" t="str">
        <f aca="false">IF(N323="","",IF(N323="수정",IF(Q323&lt;&gt;"",Q323,IF(OR(U323="명시 없음",U323="유보",U323="절 아님"),"",L323)),L323))</f>
        <v/>
      </c>
    </row>
    <row r="324" customFormat="false" ht="15" hidden="false" customHeight="false" outlineLevel="0" collapsed="false">
      <c r="A324" s="24" t="s">
        <v>200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5"/>
      <c r="O324" s="25"/>
      <c r="P324" s="25"/>
      <c r="Q324" s="25"/>
      <c r="R324" s="25"/>
      <c r="S324" s="25"/>
      <c r="T324" s="28" t="str">
        <f aca="false">IF(N324="","",IF(AND(N324="수정",O324&lt;&gt;""),O324,J324))</f>
        <v/>
      </c>
      <c r="U324" s="28" t="str">
        <f aca="false">IF(N324="","",IF(AND(N324="수정",P324&lt;&gt;""),P324,K324))</f>
        <v/>
      </c>
      <c r="V324" s="28" t="str">
        <f aca="false">IF(N324="","",IF(N324="수정",IF(Q324&lt;&gt;"",Q324,IF(OR(U324="명시 없음",U324="유보",U324="절 아님"),"",L324)),L324))</f>
        <v/>
      </c>
    </row>
    <row r="325" customFormat="false" ht="15" hidden="false" customHeight="false" outlineLevel="0" collapsed="false">
      <c r="A325" s="24" t="s">
        <v>200</v>
      </c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5"/>
      <c r="O325" s="25"/>
      <c r="P325" s="25"/>
      <c r="Q325" s="25"/>
      <c r="R325" s="25"/>
      <c r="S325" s="25"/>
      <c r="T325" s="28" t="str">
        <f aca="false">IF(N325="","",IF(AND(N325="수정",O325&lt;&gt;""),O325,J325))</f>
        <v/>
      </c>
      <c r="U325" s="28" t="str">
        <f aca="false">IF(N325="","",IF(AND(N325="수정",P325&lt;&gt;""),P325,K325))</f>
        <v/>
      </c>
      <c r="V325" s="28" t="str">
        <f aca="false">IF(N325="","",IF(N325="수정",IF(Q325&lt;&gt;"",Q325,IF(OR(U325="명시 없음",U325="유보",U325="절 아님"),"",L325)),L325))</f>
        <v/>
      </c>
    </row>
    <row r="326" customFormat="false" ht="15" hidden="false" customHeight="false" outlineLevel="0" collapsed="false">
      <c r="A326" s="24" t="s">
        <v>200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5"/>
      <c r="O326" s="25"/>
      <c r="P326" s="25"/>
      <c r="Q326" s="25"/>
      <c r="R326" s="25"/>
      <c r="S326" s="25"/>
      <c r="T326" s="28" t="str">
        <f aca="false">IF(N326="","",IF(AND(N326="수정",O326&lt;&gt;""),O326,J326))</f>
        <v/>
      </c>
      <c r="U326" s="28" t="str">
        <f aca="false">IF(N326="","",IF(AND(N326="수정",P326&lt;&gt;""),P326,K326))</f>
        <v/>
      </c>
      <c r="V326" s="28" t="str">
        <f aca="false">IF(N326="","",IF(N326="수정",IF(Q326&lt;&gt;"",Q326,IF(OR(U326="명시 없음",U326="유보",U326="절 아님"),"",L326)),L326))</f>
        <v/>
      </c>
    </row>
    <row r="327" customFormat="false" ht="15" hidden="false" customHeight="false" outlineLevel="0" collapsed="false">
      <c r="A327" s="24" t="s">
        <v>200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5"/>
      <c r="O327" s="25"/>
      <c r="P327" s="25"/>
      <c r="Q327" s="25"/>
      <c r="R327" s="25"/>
      <c r="S327" s="25"/>
      <c r="T327" s="28" t="str">
        <f aca="false">IF(N327="","",IF(AND(N327="수정",O327&lt;&gt;""),O327,J327))</f>
        <v/>
      </c>
      <c r="U327" s="28" t="str">
        <f aca="false">IF(N327="","",IF(AND(N327="수정",P327&lt;&gt;""),P327,K327))</f>
        <v/>
      </c>
      <c r="V327" s="28" t="str">
        <f aca="false">IF(N327="","",IF(N327="수정",IF(Q327&lt;&gt;"",Q327,IF(OR(U327="명시 없음",U327="유보",U327="절 아님"),"",L327)),L327))</f>
        <v/>
      </c>
    </row>
    <row r="328" customFormat="false" ht="15" hidden="false" customHeight="false" outlineLevel="0" collapsed="false">
      <c r="A328" s="24" t="s">
        <v>200</v>
      </c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5"/>
      <c r="O328" s="25"/>
      <c r="P328" s="25"/>
      <c r="Q328" s="25"/>
      <c r="R328" s="25"/>
      <c r="S328" s="25"/>
      <c r="T328" s="28" t="str">
        <f aca="false">IF(N328="","",IF(AND(N328="수정",O328&lt;&gt;""),O328,J328))</f>
        <v/>
      </c>
      <c r="U328" s="28" t="str">
        <f aca="false">IF(N328="","",IF(AND(N328="수정",P328&lt;&gt;""),P328,K328))</f>
        <v/>
      </c>
      <c r="V328" s="28" t="str">
        <f aca="false">IF(N328="","",IF(N328="수정",IF(Q328&lt;&gt;"",Q328,IF(OR(U328="명시 없음",U328="유보",U328="절 아님"),"",L328)),L328))</f>
        <v/>
      </c>
    </row>
    <row r="329" customFormat="false" ht="15" hidden="false" customHeight="false" outlineLevel="0" collapsed="false">
      <c r="A329" s="24" t="s">
        <v>200</v>
      </c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5"/>
      <c r="O329" s="25"/>
      <c r="P329" s="25"/>
      <c r="Q329" s="25"/>
      <c r="R329" s="25"/>
      <c r="S329" s="25"/>
      <c r="T329" s="28" t="str">
        <f aca="false">IF(N329="","",IF(AND(N329="수정",O329&lt;&gt;""),O329,J329))</f>
        <v/>
      </c>
      <c r="U329" s="28" t="str">
        <f aca="false">IF(N329="","",IF(AND(N329="수정",P329&lt;&gt;""),P329,K329))</f>
        <v/>
      </c>
      <c r="V329" s="28" t="str">
        <f aca="false">IF(N329="","",IF(N329="수정",IF(Q329&lt;&gt;"",Q329,IF(OR(U329="명시 없음",U329="유보",U329="절 아님"),"",L329)),L329))</f>
        <v/>
      </c>
    </row>
    <row r="330" customFormat="false" ht="15" hidden="false" customHeight="false" outlineLevel="0" collapsed="false">
      <c r="A330" s="24" t="s">
        <v>200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5"/>
      <c r="O330" s="25"/>
      <c r="P330" s="25"/>
      <c r="Q330" s="25"/>
      <c r="R330" s="25"/>
      <c r="S330" s="25"/>
      <c r="T330" s="28" t="str">
        <f aca="false">IF(N330="","",IF(AND(N330="수정",O330&lt;&gt;""),O330,J330))</f>
        <v/>
      </c>
      <c r="U330" s="28" t="str">
        <f aca="false">IF(N330="","",IF(AND(N330="수정",P330&lt;&gt;""),P330,K330))</f>
        <v/>
      </c>
      <c r="V330" s="28" t="str">
        <f aca="false">IF(N330="","",IF(N330="수정",IF(Q330&lt;&gt;"",Q330,IF(OR(U330="명시 없음",U330="유보",U330="절 아님"),"",L330)),L330))</f>
        <v/>
      </c>
    </row>
    <row r="331" customFormat="false" ht="15" hidden="false" customHeight="false" outlineLevel="0" collapsed="false">
      <c r="A331" s="24" t="s">
        <v>200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5"/>
      <c r="O331" s="25"/>
      <c r="P331" s="25"/>
      <c r="Q331" s="25"/>
      <c r="R331" s="25"/>
      <c r="S331" s="25"/>
      <c r="T331" s="28" t="str">
        <f aca="false">IF(N331="","",IF(AND(N331="수정",O331&lt;&gt;""),O331,J331))</f>
        <v/>
      </c>
      <c r="U331" s="28" t="str">
        <f aca="false">IF(N331="","",IF(AND(N331="수정",P331&lt;&gt;""),P331,K331))</f>
        <v/>
      </c>
      <c r="V331" s="28" t="str">
        <f aca="false">IF(N331="","",IF(N331="수정",IF(Q331&lt;&gt;"",Q331,IF(OR(U331="명시 없음",U331="유보",U331="절 아님"),"",L331)),L331))</f>
        <v/>
      </c>
    </row>
    <row r="332" customFormat="false" ht="15" hidden="false" customHeight="false" outlineLevel="0" collapsed="false">
      <c r="A332" s="24" t="s">
        <v>200</v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5"/>
      <c r="O332" s="25"/>
      <c r="P332" s="25"/>
      <c r="Q332" s="25"/>
      <c r="R332" s="25"/>
      <c r="S332" s="25"/>
      <c r="T332" s="28" t="str">
        <f aca="false">IF(N332="","",IF(AND(N332="수정",O332&lt;&gt;""),O332,J332))</f>
        <v/>
      </c>
      <c r="U332" s="28" t="str">
        <f aca="false">IF(N332="","",IF(AND(N332="수정",P332&lt;&gt;""),P332,K332))</f>
        <v/>
      </c>
      <c r="V332" s="28" t="str">
        <f aca="false">IF(N332="","",IF(N332="수정",IF(Q332&lt;&gt;"",Q332,IF(OR(U332="명시 없음",U332="유보",U332="절 아님"),"",L332)),L332))</f>
        <v/>
      </c>
    </row>
    <row r="333" customFormat="false" ht="15" hidden="false" customHeight="false" outlineLevel="0" collapsed="false">
      <c r="A333" s="24" t="s">
        <v>200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5"/>
      <c r="O333" s="25"/>
      <c r="P333" s="25"/>
      <c r="Q333" s="25"/>
      <c r="R333" s="25"/>
      <c r="S333" s="25"/>
      <c r="T333" s="28" t="str">
        <f aca="false">IF(N333="","",IF(AND(N333="수정",O333&lt;&gt;""),O333,J333))</f>
        <v/>
      </c>
      <c r="U333" s="28" t="str">
        <f aca="false">IF(N333="","",IF(AND(N333="수정",P333&lt;&gt;""),P333,K333))</f>
        <v/>
      </c>
      <c r="V333" s="28" t="str">
        <f aca="false">IF(N333="","",IF(N333="수정",IF(Q333&lt;&gt;"",Q333,IF(OR(U333="명시 없음",U333="유보",U333="절 아님"),"",L333)),L333))</f>
        <v/>
      </c>
    </row>
    <row r="334" customFormat="false" ht="15" hidden="false" customHeight="false" outlineLevel="0" collapsed="false">
      <c r="A334" s="24" t="s">
        <v>200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5"/>
      <c r="O334" s="25"/>
      <c r="P334" s="25"/>
      <c r="Q334" s="25"/>
      <c r="R334" s="25"/>
      <c r="S334" s="25"/>
      <c r="T334" s="28" t="str">
        <f aca="false">IF(N334="","",IF(AND(N334="수정",O334&lt;&gt;""),O334,J334))</f>
        <v/>
      </c>
      <c r="U334" s="28" t="str">
        <f aca="false">IF(N334="","",IF(AND(N334="수정",P334&lt;&gt;""),P334,K334))</f>
        <v/>
      </c>
      <c r="V334" s="28" t="str">
        <f aca="false">IF(N334="","",IF(N334="수정",IF(Q334&lt;&gt;"",Q334,IF(OR(U334="명시 없음",U334="유보",U334="절 아님"),"",L334)),L334))</f>
        <v/>
      </c>
    </row>
    <row r="335" customFormat="false" ht="15" hidden="false" customHeight="false" outlineLevel="0" collapsed="false">
      <c r="A335" s="24" t="s">
        <v>200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5"/>
      <c r="O335" s="25"/>
      <c r="P335" s="25"/>
      <c r="Q335" s="25"/>
      <c r="R335" s="25"/>
      <c r="S335" s="25"/>
      <c r="T335" s="28" t="str">
        <f aca="false">IF(N335="","",IF(AND(N335="수정",O335&lt;&gt;""),O335,J335))</f>
        <v/>
      </c>
      <c r="U335" s="28" t="str">
        <f aca="false">IF(N335="","",IF(AND(N335="수정",P335&lt;&gt;""),P335,K335))</f>
        <v/>
      </c>
      <c r="V335" s="28" t="str">
        <f aca="false">IF(N335="","",IF(N335="수정",IF(Q335&lt;&gt;"",Q335,IF(OR(U335="명시 없음",U335="유보",U335="절 아님"),"",L335)),L335))</f>
        <v/>
      </c>
    </row>
    <row r="336" customFormat="false" ht="15" hidden="false" customHeight="false" outlineLevel="0" collapsed="false">
      <c r="A336" s="24" t="s">
        <v>200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5"/>
      <c r="O336" s="25"/>
      <c r="P336" s="25"/>
      <c r="Q336" s="25"/>
      <c r="R336" s="25"/>
      <c r="S336" s="25"/>
      <c r="T336" s="28" t="str">
        <f aca="false">IF(N336="","",IF(AND(N336="수정",O336&lt;&gt;""),O336,J336))</f>
        <v/>
      </c>
      <c r="U336" s="28" t="str">
        <f aca="false">IF(N336="","",IF(AND(N336="수정",P336&lt;&gt;""),P336,K336))</f>
        <v/>
      </c>
      <c r="V336" s="28" t="str">
        <f aca="false">IF(N336="","",IF(N336="수정",IF(Q336&lt;&gt;"",Q336,IF(OR(U336="명시 없음",U336="유보",U336="절 아님"),"",L336)),L336))</f>
        <v/>
      </c>
    </row>
    <row r="337" customFormat="false" ht="15" hidden="false" customHeight="false" outlineLevel="0" collapsed="false">
      <c r="A337" s="24" t="s">
        <v>200</v>
      </c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5"/>
      <c r="O337" s="25"/>
      <c r="P337" s="25"/>
      <c r="Q337" s="25"/>
      <c r="R337" s="25"/>
      <c r="S337" s="25"/>
      <c r="T337" s="28" t="str">
        <f aca="false">IF(N337="","",IF(AND(N337="수정",O337&lt;&gt;""),O337,J337))</f>
        <v/>
      </c>
      <c r="U337" s="28" t="str">
        <f aca="false">IF(N337="","",IF(AND(N337="수정",P337&lt;&gt;""),P337,K337))</f>
        <v/>
      </c>
      <c r="V337" s="28" t="str">
        <f aca="false">IF(N337="","",IF(N337="수정",IF(Q337&lt;&gt;"",Q337,IF(OR(U337="명시 없음",U337="유보",U337="절 아님"),"",L337)),L337))</f>
        <v/>
      </c>
    </row>
    <row r="338" customFormat="false" ht="15" hidden="false" customHeight="false" outlineLevel="0" collapsed="false">
      <c r="A338" s="24" t="s">
        <v>200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5"/>
      <c r="O338" s="25"/>
      <c r="P338" s="25"/>
      <c r="Q338" s="25"/>
      <c r="R338" s="25"/>
      <c r="S338" s="25"/>
      <c r="T338" s="28" t="str">
        <f aca="false">IF(N338="","",IF(AND(N338="수정",O338&lt;&gt;""),O338,J338))</f>
        <v/>
      </c>
      <c r="U338" s="28" t="str">
        <f aca="false">IF(N338="","",IF(AND(N338="수정",P338&lt;&gt;""),P338,K338))</f>
        <v/>
      </c>
      <c r="V338" s="28" t="str">
        <f aca="false">IF(N338="","",IF(N338="수정",IF(Q338&lt;&gt;"",Q338,IF(OR(U338="명시 없음",U338="유보",U338="절 아님"),"",L338)),L338))</f>
        <v/>
      </c>
    </row>
    <row r="339" customFormat="false" ht="15" hidden="false" customHeight="false" outlineLevel="0" collapsed="false">
      <c r="A339" s="24" t="s">
        <v>200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5"/>
      <c r="O339" s="25"/>
      <c r="P339" s="25"/>
      <c r="Q339" s="25"/>
      <c r="R339" s="25"/>
      <c r="S339" s="25"/>
      <c r="T339" s="28" t="str">
        <f aca="false">IF(N339="","",IF(AND(N339="수정",O339&lt;&gt;""),O339,J339))</f>
        <v/>
      </c>
      <c r="U339" s="28" t="str">
        <f aca="false">IF(N339="","",IF(AND(N339="수정",P339&lt;&gt;""),P339,K339))</f>
        <v/>
      </c>
      <c r="V339" s="28" t="str">
        <f aca="false">IF(N339="","",IF(N339="수정",IF(Q339&lt;&gt;"",Q339,IF(OR(U339="명시 없음",U339="유보",U339="절 아님"),"",L339)),L339))</f>
        <v/>
      </c>
    </row>
    <row r="340" customFormat="false" ht="15" hidden="false" customHeight="false" outlineLevel="0" collapsed="false">
      <c r="A340" s="24" t="s">
        <v>200</v>
      </c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5"/>
      <c r="O340" s="25"/>
      <c r="P340" s="25"/>
      <c r="Q340" s="25"/>
      <c r="R340" s="25"/>
      <c r="S340" s="25"/>
      <c r="T340" s="28" t="str">
        <f aca="false">IF(N340="","",IF(AND(N340="수정",O340&lt;&gt;""),O340,J340))</f>
        <v/>
      </c>
      <c r="U340" s="28" t="str">
        <f aca="false">IF(N340="","",IF(AND(N340="수정",P340&lt;&gt;""),P340,K340))</f>
        <v/>
      </c>
      <c r="V340" s="28" t="str">
        <f aca="false">IF(N340="","",IF(N340="수정",IF(Q340&lt;&gt;"",Q340,IF(OR(U340="명시 없음",U340="유보",U340="절 아님"),"",L340)),L340))</f>
        <v/>
      </c>
    </row>
    <row r="341" customFormat="false" ht="15" hidden="false" customHeight="false" outlineLevel="0" collapsed="false">
      <c r="A341" s="24" t="s">
        <v>200</v>
      </c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5"/>
      <c r="O341" s="25"/>
      <c r="P341" s="25"/>
      <c r="Q341" s="25"/>
      <c r="R341" s="25"/>
      <c r="S341" s="25"/>
      <c r="T341" s="28" t="str">
        <f aca="false">IF(N341="","",IF(AND(N341="수정",O341&lt;&gt;""),O341,J341))</f>
        <v/>
      </c>
      <c r="U341" s="28" t="str">
        <f aca="false">IF(N341="","",IF(AND(N341="수정",P341&lt;&gt;""),P341,K341))</f>
        <v/>
      </c>
      <c r="V341" s="28" t="str">
        <f aca="false">IF(N341="","",IF(N341="수정",IF(Q341&lt;&gt;"",Q341,IF(OR(U341="명시 없음",U341="유보",U341="절 아님"),"",L341)),L341))</f>
        <v/>
      </c>
    </row>
    <row r="342" customFormat="false" ht="15" hidden="false" customHeight="false" outlineLevel="0" collapsed="false">
      <c r="A342" s="24" t="s">
        <v>200</v>
      </c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5"/>
      <c r="O342" s="25"/>
      <c r="P342" s="25"/>
      <c r="Q342" s="25"/>
      <c r="R342" s="25"/>
      <c r="S342" s="25"/>
      <c r="T342" s="28" t="str">
        <f aca="false">IF(N342="","",IF(AND(N342="수정",O342&lt;&gt;""),O342,J342))</f>
        <v/>
      </c>
      <c r="U342" s="28" t="str">
        <f aca="false">IF(N342="","",IF(AND(N342="수정",P342&lt;&gt;""),P342,K342))</f>
        <v/>
      </c>
      <c r="V342" s="28" t="str">
        <f aca="false">IF(N342="","",IF(N342="수정",IF(Q342&lt;&gt;"",Q342,IF(OR(U342="명시 없음",U342="유보",U342="절 아님"),"",L342)),L342))</f>
        <v/>
      </c>
    </row>
    <row r="343" customFormat="false" ht="15" hidden="false" customHeight="false" outlineLevel="0" collapsed="false">
      <c r="A343" s="24" t="s">
        <v>200</v>
      </c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5"/>
      <c r="O343" s="25"/>
      <c r="P343" s="25"/>
      <c r="Q343" s="25"/>
      <c r="R343" s="25"/>
      <c r="S343" s="25"/>
      <c r="T343" s="28" t="str">
        <f aca="false">IF(N343="","",IF(AND(N343="수정",O343&lt;&gt;""),O343,J343))</f>
        <v/>
      </c>
      <c r="U343" s="28" t="str">
        <f aca="false">IF(N343="","",IF(AND(N343="수정",P343&lt;&gt;""),P343,K343))</f>
        <v/>
      </c>
      <c r="V343" s="28" t="str">
        <f aca="false">IF(N343="","",IF(N343="수정",IF(Q343&lt;&gt;"",Q343,IF(OR(U343="명시 없음",U343="유보",U343="절 아님"),"",L343)),L343))</f>
        <v/>
      </c>
    </row>
    <row r="344" customFormat="false" ht="15" hidden="false" customHeight="false" outlineLevel="0" collapsed="false">
      <c r="A344" s="24" t="s">
        <v>200</v>
      </c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5"/>
      <c r="O344" s="25"/>
      <c r="P344" s="25"/>
      <c r="Q344" s="25"/>
      <c r="R344" s="25"/>
      <c r="S344" s="25"/>
      <c r="T344" s="28" t="str">
        <f aca="false">IF(N344="","",IF(AND(N344="수정",O344&lt;&gt;""),O344,J344))</f>
        <v/>
      </c>
      <c r="U344" s="28" t="str">
        <f aca="false">IF(N344="","",IF(AND(N344="수정",P344&lt;&gt;""),P344,K344))</f>
        <v/>
      </c>
      <c r="V344" s="28" t="str">
        <f aca="false">IF(N344="","",IF(N344="수정",IF(Q344&lt;&gt;"",Q344,IF(OR(U344="명시 없음",U344="유보",U344="절 아님"),"",L344)),L344))</f>
        <v/>
      </c>
    </row>
    <row r="345" customFormat="false" ht="15" hidden="false" customHeight="false" outlineLevel="0" collapsed="false">
      <c r="A345" s="24" t="s">
        <v>200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5"/>
      <c r="O345" s="25"/>
      <c r="P345" s="25"/>
      <c r="Q345" s="25"/>
      <c r="R345" s="25"/>
      <c r="S345" s="25"/>
      <c r="T345" s="28" t="str">
        <f aca="false">IF(N345="","",IF(AND(N345="수정",O345&lt;&gt;""),O345,J345))</f>
        <v/>
      </c>
      <c r="U345" s="28" t="str">
        <f aca="false">IF(N345="","",IF(AND(N345="수정",P345&lt;&gt;""),P345,K345))</f>
        <v/>
      </c>
      <c r="V345" s="28" t="str">
        <f aca="false">IF(N345="","",IF(N345="수정",IF(Q345&lt;&gt;"",Q345,IF(OR(U345="명시 없음",U345="유보",U345="절 아님"),"",L345)),L345))</f>
        <v/>
      </c>
    </row>
    <row r="346" customFormat="false" ht="15" hidden="false" customHeight="false" outlineLevel="0" collapsed="false">
      <c r="A346" s="24" t="s">
        <v>200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5"/>
      <c r="O346" s="25"/>
      <c r="P346" s="25"/>
      <c r="Q346" s="25"/>
      <c r="R346" s="25"/>
      <c r="S346" s="25"/>
      <c r="T346" s="28" t="str">
        <f aca="false">IF(N346="","",IF(AND(N346="수정",O346&lt;&gt;""),O346,J346))</f>
        <v/>
      </c>
      <c r="U346" s="28" t="str">
        <f aca="false">IF(N346="","",IF(AND(N346="수정",P346&lt;&gt;""),P346,K346))</f>
        <v/>
      </c>
      <c r="V346" s="28" t="str">
        <f aca="false">IF(N346="","",IF(N346="수정",IF(Q346&lt;&gt;"",Q346,IF(OR(U346="명시 없음",U346="유보",U346="절 아님"),"",L346)),L346))</f>
        <v/>
      </c>
    </row>
    <row r="347" customFormat="false" ht="15" hidden="false" customHeight="false" outlineLevel="0" collapsed="false">
      <c r="A347" s="24" t="s">
        <v>200</v>
      </c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5"/>
      <c r="O347" s="25"/>
      <c r="P347" s="25"/>
      <c r="Q347" s="25"/>
      <c r="R347" s="25"/>
      <c r="S347" s="25"/>
      <c r="T347" s="28" t="str">
        <f aca="false">IF(N347="","",IF(AND(N347="수정",O347&lt;&gt;""),O347,J347))</f>
        <v/>
      </c>
      <c r="U347" s="28" t="str">
        <f aca="false">IF(N347="","",IF(AND(N347="수정",P347&lt;&gt;""),P347,K347))</f>
        <v/>
      </c>
      <c r="V347" s="28" t="str">
        <f aca="false">IF(N347="","",IF(N347="수정",IF(Q347&lt;&gt;"",Q347,IF(OR(U347="명시 없음",U347="유보",U347="절 아님"),"",L347)),L347))</f>
        <v/>
      </c>
    </row>
    <row r="348" customFormat="false" ht="15" hidden="false" customHeight="false" outlineLevel="0" collapsed="false">
      <c r="A348" s="24" t="s">
        <v>200</v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5"/>
      <c r="O348" s="25"/>
      <c r="P348" s="25"/>
      <c r="Q348" s="25"/>
      <c r="R348" s="25"/>
      <c r="S348" s="25"/>
      <c r="T348" s="28" t="str">
        <f aca="false">IF(N348="","",IF(AND(N348="수정",O348&lt;&gt;""),O348,J348))</f>
        <v/>
      </c>
      <c r="U348" s="28" t="str">
        <f aca="false">IF(N348="","",IF(AND(N348="수정",P348&lt;&gt;""),P348,K348))</f>
        <v/>
      </c>
      <c r="V348" s="28" t="str">
        <f aca="false">IF(N348="","",IF(N348="수정",IF(Q348&lt;&gt;"",Q348,IF(OR(U348="명시 없음",U348="유보",U348="절 아님"),"",L348)),L348))</f>
        <v/>
      </c>
    </row>
    <row r="349" customFormat="false" ht="15" hidden="false" customHeight="false" outlineLevel="0" collapsed="false">
      <c r="A349" s="24" t="s">
        <v>200</v>
      </c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5"/>
      <c r="O349" s="25"/>
      <c r="P349" s="25"/>
      <c r="Q349" s="25"/>
      <c r="R349" s="25"/>
      <c r="S349" s="25"/>
      <c r="T349" s="28" t="str">
        <f aca="false">IF(N349="","",IF(AND(N349="수정",O349&lt;&gt;""),O349,J349))</f>
        <v/>
      </c>
      <c r="U349" s="28" t="str">
        <f aca="false">IF(N349="","",IF(AND(N349="수정",P349&lt;&gt;""),P349,K349))</f>
        <v/>
      </c>
      <c r="V349" s="28" t="str">
        <f aca="false">IF(N349="","",IF(N349="수정",IF(Q349&lt;&gt;"",Q349,IF(OR(U349="명시 없음",U349="유보",U349="절 아님"),"",L349)),L349))</f>
        <v/>
      </c>
    </row>
    <row r="350" customFormat="false" ht="15" hidden="false" customHeight="false" outlineLevel="0" collapsed="false">
      <c r="A350" s="24" t="s">
        <v>200</v>
      </c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5"/>
      <c r="O350" s="25"/>
      <c r="P350" s="25"/>
      <c r="Q350" s="25"/>
      <c r="R350" s="25"/>
      <c r="S350" s="25"/>
      <c r="T350" s="28" t="str">
        <f aca="false">IF(N350="","",IF(AND(N350="수정",O350&lt;&gt;""),O350,J350))</f>
        <v/>
      </c>
      <c r="U350" s="28" t="str">
        <f aca="false">IF(N350="","",IF(AND(N350="수정",P350&lt;&gt;""),P350,K350))</f>
        <v/>
      </c>
      <c r="V350" s="28" t="str">
        <f aca="false">IF(N350="","",IF(N350="수정",IF(Q350&lt;&gt;"",Q350,IF(OR(U350="명시 없음",U350="유보",U350="절 아님"),"",L350)),L350))</f>
        <v/>
      </c>
    </row>
    <row r="351" customFormat="false" ht="15" hidden="false" customHeight="false" outlineLevel="0" collapsed="false">
      <c r="A351" s="24" t="s">
        <v>200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5"/>
      <c r="O351" s="25"/>
      <c r="P351" s="25"/>
      <c r="Q351" s="25"/>
      <c r="R351" s="25"/>
      <c r="S351" s="25"/>
      <c r="T351" s="28" t="str">
        <f aca="false">IF(N351="","",IF(AND(N351="수정",O351&lt;&gt;""),O351,J351))</f>
        <v/>
      </c>
      <c r="U351" s="28" t="str">
        <f aca="false">IF(N351="","",IF(AND(N351="수정",P351&lt;&gt;""),P351,K351))</f>
        <v/>
      </c>
      <c r="V351" s="28" t="str">
        <f aca="false">IF(N351="","",IF(N351="수정",IF(Q351&lt;&gt;"",Q351,IF(OR(U351="명시 없음",U351="유보",U351="절 아님"),"",L351)),L351))</f>
        <v/>
      </c>
    </row>
    <row r="352" customFormat="false" ht="15" hidden="false" customHeight="false" outlineLevel="0" collapsed="false">
      <c r="A352" s="24" t="s">
        <v>200</v>
      </c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5"/>
      <c r="O352" s="25"/>
      <c r="P352" s="25"/>
      <c r="Q352" s="25"/>
      <c r="R352" s="25"/>
      <c r="S352" s="25"/>
      <c r="T352" s="28" t="str">
        <f aca="false">IF(N352="","",IF(AND(N352="수정",O352&lt;&gt;""),O352,J352))</f>
        <v/>
      </c>
      <c r="U352" s="28" t="str">
        <f aca="false">IF(N352="","",IF(AND(N352="수정",P352&lt;&gt;""),P352,K352))</f>
        <v/>
      </c>
      <c r="V352" s="28" t="str">
        <f aca="false">IF(N352="","",IF(N352="수정",IF(Q352&lt;&gt;"",Q352,IF(OR(U352="명시 없음",U352="유보",U352="절 아님"),"",L352)),L352))</f>
        <v/>
      </c>
    </row>
    <row r="353" customFormat="false" ht="15" hidden="false" customHeight="false" outlineLevel="0" collapsed="false">
      <c r="A353" s="24" t="s">
        <v>200</v>
      </c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5"/>
      <c r="O353" s="25"/>
      <c r="P353" s="25"/>
      <c r="Q353" s="25"/>
      <c r="R353" s="25"/>
      <c r="S353" s="25"/>
      <c r="T353" s="28" t="str">
        <f aca="false">IF(N353="","",IF(AND(N353="수정",O353&lt;&gt;""),O353,J353))</f>
        <v/>
      </c>
      <c r="U353" s="28" t="str">
        <f aca="false">IF(N353="","",IF(AND(N353="수정",P353&lt;&gt;""),P353,K353))</f>
        <v/>
      </c>
      <c r="V353" s="28" t="str">
        <f aca="false">IF(N353="","",IF(N353="수정",IF(Q353&lt;&gt;"",Q353,IF(OR(U353="명시 없음",U353="유보",U353="절 아님"),"",L353)),L353))</f>
        <v/>
      </c>
    </row>
    <row r="354" customFormat="false" ht="15" hidden="false" customHeight="false" outlineLevel="0" collapsed="false">
      <c r="A354" s="24" t="s">
        <v>200</v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5"/>
      <c r="O354" s="25"/>
      <c r="P354" s="25"/>
      <c r="Q354" s="25"/>
      <c r="R354" s="25"/>
      <c r="S354" s="25"/>
      <c r="T354" s="28" t="str">
        <f aca="false">IF(N354="","",IF(AND(N354="수정",O354&lt;&gt;""),O354,J354))</f>
        <v/>
      </c>
      <c r="U354" s="28" t="str">
        <f aca="false">IF(N354="","",IF(AND(N354="수정",P354&lt;&gt;""),P354,K354))</f>
        <v/>
      </c>
      <c r="V354" s="28" t="str">
        <f aca="false">IF(N354="","",IF(N354="수정",IF(Q354&lt;&gt;"",Q354,IF(OR(U354="명시 없음",U354="유보",U354="절 아님"),"",L354)),L354))</f>
        <v/>
      </c>
    </row>
    <row r="355" customFormat="false" ht="15" hidden="false" customHeight="false" outlineLevel="0" collapsed="false">
      <c r="A355" s="24" t="s">
        <v>200</v>
      </c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5"/>
      <c r="O355" s="25"/>
      <c r="P355" s="25"/>
      <c r="Q355" s="25"/>
      <c r="R355" s="25"/>
      <c r="S355" s="25"/>
      <c r="T355" s="28" t="str">
        <f aca="false">IF(N355="","",IF(AND(N355="수정",O355&lt;&gt;""),O355,J355))</f>
        <v/>
      </c>
      <c r="U355" s="28" t="str">
        <f aca="false">IF(N355="","",IF(AND(N355="수정",P355&lt;&gt;""),P355,K355))</f>
        <v/>
      </c>
      <c r="V355" s="28" t="str">
        <f aca="false">IF(N355="","",IF(N355="수정",IF(Q355&lt;&gt;"",Q355,IF(OR(U355="명시 없음",U355="유보",U355="절 아님"),"",L355)),L355))</f>
        <v/>
      </c>
    </row>
    <row r="356" customFormat="false" ht="15" hidden="false" customHeight="false" outlineLevel="0" collapsed="false">
      <c r="A356" s="24" t="s">
        <v>200</v>
      </c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5"/>
      <c r="O356" s="25"/>
      <c r="P356" s="25"/>
      <c r="Q356" s="25"/>
      <c r="R356" s="25"/>
      <c r="S356" s="25"/>
      <c r="T356" s="28" t="str">
        <f aca="false">IF(N356="","",IF(AND(N356="수정",O356&lt;&gt;""),O356,J356))</f>
        <v/>
      </c>
      <c r="U356" s="28" t="str">
        <f aca="false">IF(N356="","",IF(AND(N356="수정",P356&lt;&gt;""),P356,K356))</f>
        <v/>
      </c>
      <c r="V356" s="28" t="str">
        <f aca="false">IF(N356="","",IF(N356="수정",IF(Q356&lt;&gt;"",Q356,IF(OR(U356="명시 없음",U356="유보",U356="절 아님"),"",L356)),L356))</f>
        <v/>
      </c>
    </row>
    <row r="357" customFormat="false" ht="15" hidden="false" customHeight="false" outlineLevel="0" collapsed="false">
      <c r="A357" s="24" t="s">
        <v>200</v>
      </c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5"/>
      <c r="O357" s="25"/>
      <c r="P357" s="25"/>
      <c r="Q357" s="25"/>
      <c r="R357" s="25"/>
      <c r="S357" s="25"/>
      <c r="T357" s="28" t="str">
        <f aca="false">IF(N357="","",IF(AND(N357="수정",O357&lt;&gt;""),O357,J357))</f>
        <v/>
      </c>
      <c r="U357" s="28" t="str">
        <f aca="false">IF(N357="","",IF(AND(N357="수정",P357&lt;&gt;""),P357,K357))</f>
        <v/>
      </c>
      <c r="V357" s="28" t="str">
        <f aca="false">IF(N357="","",IF(N357="수정",IF(Q357&lt;&gt;"",Q357,IF(OR(U357="명시 없음",U357="유보",U357="절 아님"),"",L357)),L357))</f>
        <v/>
      </c>
    </row>
    <row r="358" customFormat="false" ht="15" hidden="false" customHeight="false" outlineLevel="0" collapsed="false">
      <c r="A358" s="24" t="s">
        <v>200</v>
      </c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5"/>
      <c r="O358" s="25"/>
      <c r="P358" s="25"/>
      <c r="Q358" s="25"/>
      <c r="R358" s="25"/>
      <c r="S358" s="25"/>
      <c r="T358" s="28" t="str">
        <f aca="false">IF(N358="","",IF(AND(N358="수정",O358&lt;&gt;""),O358,J358))</f>
        <v/>
      </c>
      <c r="U358" s="28" t="str">
        <f aca="false">IF(N358="","",IF(AND(N358="수정",P358&lt;&gt;""),P358,K358))</f>
        <v/>
      </c>
      <c r="V358" s="28" t="str">
        <f aca="false">IF(N358="","",IF(N358="수정",IF(Q358&lt;&gt;"",Q358,IF(OR(U358="명시 없음",U358="유보",U358="절 아님"),"",L358)),L358))</f>
        <v/>
      </c>
    </row>
    <row r="359" customFormat="false" ht="15" hidden="false" customHeight="false" outlineLevel="0" collapsed="false">
      <c r="A359" s="24" t="s">
        <v>200</v>
      </c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5"/>
      <c r="O359" s="25"/>
      <c r="P359" s="25"/>
      <c r="Q359" s="25"/>
      <c r="R359" s="25"/>
      <c r="S359" s="25"/>
      <c r="T359" s="28" t="str">
        <f aca="false">IF(N359="","",IF(AND(N359="수정",O359&lt;&gt;""),O359,J359))</f>
        <v/>
      </c>
      <c r="U359" s="28" t="str">
        <f aca="false">IF(N359="","",IF(AND(N359="수정",P359&lt;&gt;""),P359,K359))</f>
        <v/>
      </c>
      <c r="V359" s="28" t="str">
        <f aca="false">IF(N359="","",IF(N359="수정",IF(Q359&lt;&gt;"",Q359,IF(OR(U359="명시 없음",U359="유보",U359="절 아님"),"",L359)),L359))</f>
        <v/>
      </c>
    </row>
    <row r="360" customFormat="false" ht="15" hidden="false" customHeight="false" outlineLevel="0" collapsed="false">
      <c r="A360" s="24" t="s">
        <v>200</v>
      </c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5"/>
      <c r="O360" s="25"/>
      <c r="P360" s="25"/>
      <c r="Q360" s="25"/>
      <c r="R360" s="25"/>
      <c r="S360" s="25"/>
      <c r="T360" s="28" t="str">
        <f aca="false">IF(N360="","",IF(AND(N360="수정",O360&lt;&gt;""),O360,J360))</f>
        <v/>
      </c>
      <c r="U360" s="28" t="str">
        <f aca="false">IF(N360="","",IF(AND(N360="수정",P360&lt;&gt;""),P360,K360))</f>
        <v/>
      </c>
      <c r="V360" s="28" t="str">
        <f aca="false">IF(N360="","",IF(N360="수정",IF(Q360&lt;&gt;"",Q360,IF(OR(U360="명시 없음",U360="유보",U360="절 아님"),"",L360)),L360))</f>
        <v/>
      </c>
    </row>
    <row r="361" customFormat="false" ht="15" hidden="false" customHeight="false" outlineLevel="0" collapsed="false">
      <c r="A361" s="24" t="s">
        <v>200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5"/>
      <c r="O361" s="25"/>
      <c r="P361" s="25"/>
      <c r="Q361" s="25"/>
      <c r="R361" s="25"/>
      <c r="S361" s="25"/>
      <c r="T361" s="28" t="str">
        <f aca="false">IF(N361="","",IF(AND(N361="수정",O361&lt;&gt;""),O361,J361))</f>
        <v/>
      </c>
      <c r="U361" s="28" t="str">
        <f aca="false">IF(N361="","",IF(AND(N361="수정",P361&lt;&gt;""),P361,K361))</f>
        <v/>
      </c>
      <c r="V361" s="28" t="str">
        <f aca="false">IF(N361="","",IF(N361="수정",IF(Q361&lt;&gt;"",Q361,IF(OR(U361="명시 없음",U361="유보",U361="절 아님"),"",L361)),L361))</f>
        <v/>
      </c>
    </row>
    <row r="362" customFormat="false" ht="15" hidden="false" customHeight="false" outlineLevel="0" collapsed="false">
      <c r="A362" s="24" t="s">
        <v>200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5"/>
      <c r="O362" s="25"/>
      <c r="P362" s="25"/>
      <c r="Q362" s="25"/>
      <c r="R362" s="25"/>
      <c r="S362" s="25"/>
      <c r="T362" s="28" t="str">
        <f aca="false">IF(N362="","",IF(AND(N362="수정",O362&lt;&gt;""),O362,J362))</f>
        <v/>
      </c>
      <c r="U362" s="28" t="str">
        <f aca="false">IF(N362="","",IF(AND(N362="수정",P362&lt;&gt;""),P362,K362))</f>
        <v/>
      </c>
      <c r="V362" s="28" t="str">
        <f aca="false">IF(N362="","",IF(N362="수정",IF(Q362&lt;&gt;"",Q362,IF(OR(U362="명시 없음",U362="유보",U362="절 아님"),"",L362)),L362))</f>
        <v/>
      </c>
    </row>
    <row r="363" customFormat="false" ht="15" hidden="false" customHeight="false" outlineLevel="0" collapsed="false">
      <c r="A363" s="24" t="s">
        <v>200</v>
      </c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5"/>
      <c r="O363" s="25"/>
      <c r="P363" s="25"/>
      <c r="Q363" s="25"/>
      <c r="R363" s="25"/>
      <c r="S363" s="25"/>
      <c r="T363" s="28" t="str">
        <f aca="false">IF(N363="","",IF(AND(N363="수정",O363&lt;&gt;""),O363,J363))</f>
        <v/>
      </c>
      <c r="U363" s="28" t="str">
        <f aca="false">IF(N363="","",IF(AND(N363="수정",P363&lt;&gt;""),P363,K363))</f>
        <v/>
      </c>
      <c r="V363" s="28" t="str">
        <f aca="false">IF(N363="","",IF(N363="수정",IF(Q363&lt;&gt;"",Q363,IF(OR(U363="명시 없음",U363="유보",U363="절 아님"),"",L363)),L363))</f>
        <v/>
      </c>
    </row>
    <row r="364" customFormat="false" ht="15" hidden="false" customHeight="false" outlineLevel="0" collapsed="false">
      <c r="A364" s="24" t="s">
        <v>200</v>
      </c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5"/>
      <c r="O364" s="25"/>
      <c r="P364" s="25"/>
      <c r="Q364" s="25"/>
      <c r="R364" s="25"/>
      <c r="S364" s="25"/>
      <c r="T364" s="28" t="str">
        <f aca="false">IF(N364="","",IF(AND(N364="수정",O364&lt;&gt;""),O364,J364))</f>
        <v/>
      </c>
      <c r="U364" s="28" t="str">
        <f aca="false">IF(N364="","",IF(AND(N364="수정",P364&lt;&gt;""),P364,K364))</f>
        <v/>
      </c>
      <c r="V364" s="28" t="str">
        <f aca="false">IF(N364="","",IF(N364="수정",IF(Q364&lt;&gt;"",Q364,IF(OR(U364="명시 없음",U364="유보",U364="절 아님"),"",L364)),L364))</f>
        <v/>
      </c>
    </row>
    <row r="365" customFormat="false" ht="15" hidden="false" customHeight="false" outlineLevel="0" collapsed="false">
      <c r="A365" s="24" t="s">
        <v>200</v>
      </c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5"/>
      <c r="O365" s="25"/>
      <c r="P365" s="25"/>
      <c r="Q365" s="25"/>
      <c r="R365" s="25"/>
      <c r="S365" s="25"/>
      <c r="T365" s="28" t="str">
        <f aca="false">IF(N365="","",IF(AND(N365="수정",O365&lt;&gt;""),O365,J365))</f>
        <v/>
      </c>
      <c r="U365" s="28" t="str">
        <f aca="false">IF(N365="","",IF(AND(N365="수정",P365&lt;&gt;""),P365,K365))</f>
        <v/>
      </c>
      <c r="V365" s="28" t="str">
        <f aca="false">IF(N365="","",IF(N365="수정",IF(Q365&lt;&gt;"",Q365,IF(OR(U365="명시 없음",U365="유보",U365="절 아님"),"",L365)),L365))</f>
        <v/>
      </c>
    </row>
    <row r="366" customFormat="false" ht="15" hidden="false" customHeight="false" outlineLevel="0" collapsed="false">
      <c r="A366" s="24" t="s">
        <v>200</v>
      </c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5"/>
      <c r="O366" s="25"/>
      <c r="P366" s="25"/>
      <c r="Q366" s="25"/>
      <c r="R366" s="25"/>
      <c r="S366" s="25"/>
      <c r="T366" s="28" t="str">
        <f aca="false">IF(N366="","",IF(AND(N366="수정",O366&lt;&gt;""),O366,J366))</f>
        <v/>
      </c>
      <c r="U366" s="28" t="str">
        <f aca="false">IF(N366="","",IF(AND(N366="수정",P366&lt;&gt;""),P366,K366))</f>
        <v/>
      </c>
      <c r="V366" s="28" t="str">
        <f aca="false">IF(N366="","",IF(N366="수정",IF(Q366&lt;&gt;"",Q366,IF(OR(U366="명시 없음",U366="유보",U366="절 아님"),"",L366)),L366))</f>
        <v/>
      </c>
    </row>
    <row r="367" customFormat="false" ht="15" hidden="false" customHeight="false" outlineLevel="0" collapsed="false">
      <c r="A367" s="24" t="s">
        <v>200</v>
      </c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5"/>
      <c r="O367" s="25"/>
      <c r="P367" s="25"/>
      <c r="Q367" s="25"/>
      <c r="R367" s="25"/>
      <c r="S367" s="25"/>
      <c r="T367" s="28" t="str">
        <f aca="false">IF(N367="","",IF(AND(N367="수정",O367&lt;&gt;""),O367,J367))</f>
        <v/>
      </c>
      <c r="U367" s="28" t="str">
        <f aca="false">IF(N367="","",IF(AND(N367="수정",P367&lt;&gt;""),P367,K367))</f>
        <v/>
      </c>
      <c r="V367" s="28" t="str">
        <f aca="false">IF(N367="","",IF(N367="수정",IF(Q367&lt;&gt;"",Q367,IF(OR(U367="명시 없음",U367="유보",U367="절 아님"),"",L367)),L367))</f>
        <v/>
      </c>
    </row>
    <row r="368" customFormat="false" ht="15" hidden="false" customHeight="false" outlineLevel="0" collapsed="false">
      <c r="A368" s="24" t="s">
        <v>200</v>
      </c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5"/>
      <c r="O368" s="25"/>
      <c r="P368" s="25"/>
      <c r="Q368" s="25"/>
      <c r="R368" s="25"/>
      <c r="S368" s="25"/>
      <c r="T368" s="28" t="str">
        <f aca="false">IF(N368="","",IF(AND(N368="수정",O368&lt;&gt;""),O368,J368))</f>
        <v/>
      </c>
      <c r="U368" s="28" t="str">
        <f aca="false">IF(N368="","",IF(AND(N368="수정",P368&lt;&gt;""),P368,K368))</f>
        <v/>
      </c>
      <c r="V368" s="28" t="str">
        <f aca="false">IF(N368="","",IF(N368="수정",IF(Q368&lt;&gt;"",Q368,IF(OR(U368="명시 없음",U368="유보",U368="절 아님"),"",L368)),L368))</f>
        <v/>
      </c>
    </row>
    <row r="369" customFormat="false" ht="15" hidden="false" customHeight="false" outlineLevel="0" collapsed="false">
      <c r="A369" s="24" t="s">
        <v>200</v>
      </c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5"/>
      <c r="O369" s="25"/>
      <c r="P369" s="25"/>
      <c r="Q369" s="25"/>
      <c r="R369" s="25"/>
      <c r="S369" s="25"/>
      <c r="T369" s="28" t="str">
        <f aca="false">IF(N369="","",IF(AND(N369="수정",O369&lt;&gt;""),O369,J369))</f>
        <v/>
      </c>
      <c r="U369" s="28" t="str">
        <f aca="false">IF(N369="","",IF(AND(N369="수정",P369&lt;&gt;""),P369,K369))</f>
        <v/>
      </c>
      <c r="V369" s="28" t="str">
        <f aca="false">IF(N369="","",IF(N369="수정",IF(Q369&lt;&gt;"",Q369,IF(OR(U369="명시 없음",U369="유보",U369="절 아님"),"",L369)),L369))</f>
        <v/>
      </c>
    </row>
    <row r="370" customFormat="false" ht="15" hidden="false" customHeight="false" outlineLevel="0" collapsed="false">
      <c r="A370" s="24" t="s">
        <v>200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5"/>
      <c r="O370" s="25"/>
      <c r="P370" s="25"/>
      <c r="Q370" s="25"/>
      <c r="R370" s="25"/>
      <c r="S370" s="25"/>
      <c r="T370" s="28" t="str">
        <f aca="false">IF(N370="","",IF(AND(N370="수정",O370&lt;&gt;""),O370,J370))</f>
        <v/>
      </c>
      <c r="U370" s="28" t="str">
        <f aca="false">IF(N370="","",IF(AND(N370="수정",P370&lt;&gt;""),P370,K370))</f>
        <v/>
      </c>
      <c r="V370" s="28" t="str">
        <f aca="false">IF(N370="","",IF(N370="수정",IF(Q370&lt;&gt;"",Q370,IF(OR(U370="명시 없음",U370="유보",U370="절 아님"),"",L370)),L370))</f>
        <v/>
      </c>
    </row>
    <row r="371" customFormat="false" ht="15" hidden="false" customHeight="false" outlineLevel="0" collapsed="false">
      <c r="A371" s="24" t="s">
        <v>200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5"/>
      <c r="O371" s="25"/>
      <c r="P371" s="25"/>
      <c r="Q371" s="25"/>
      <c r="R371" s="25"/>
      <c r="S371" s="25"/>
      <c r="T371" s="28" t="str">
        <f aca="false">IF(N371="","",IF(AND(N371="수정",O371&lt;&gt;""),O371,J371))</f>
        <v/>
      </c>
      <c r="U371" s="28" t="str">
        <f aca="false">IF(N371="","",IF(AND(N371="수정",P371&lt;&gt;""),P371,K371))</f>
        <v/>
      </c>
      <c r="V371" s="28" t="str">
        <f aca="false">IF(N371="","",IF(N371="수정",IF(Q371&lt;&gt;"",Q371,IF(OR(U371="명시 없음",U371="유보",U371="절 아님"),"",L371)),L371))</f>
        <v/>
      </c>
    </row>
    <row r="372" customFormat="false" ht="15" hidden="false" customHeight="false" outlineLevel="0" collapsed="false">
      <c r="A372" s="24" t="s">
        <v>200</v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5"/>
      <c r="O372" s="25"/>
      <c r="P372" s="25"/>
      <c r="Q372" s="25"/>
      <c r="R372" s="25"/>
      <c r="S372" s="25"/>
      <c r="T372" s="28" t="str">
        <f aca="false">IF(N372="","",IF(AND(N372="수정",O372&lt;&gt;""),O372,J372))</f>
        <v/>
      </c>
      <c r="U372" s="28" t="str">
        <f aca="false">IF(N372="","",IF(AND(N372="수정",P372&lt;&gt;""),P372,K372))</f>
        <v/>
      </c>
      <c r="V372" s="28" t="str">
        <f aca="false">IF(N372="","",IF(N372="수정",IF(Q372&lt;&gt;"",Q372,IF(OR(U372="명시 없음",U372="유보",U372="절 아님"),"",L372)),L372))</f>
        <v/>
      </c>
    </row>
    <row r="373" customFormat="false" ht="15" hidden="false" customHeight="false" outlineLevel="0" collapsed="false">
      <c r="A373" s="24" t="s">
        <v>200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5"/>
      <c r="O373" s="25"/>
      <c r="P373" s="25"/>
      <c r="Q373" s="25"/>
      <c r="R373" s="25"/>
      <c r="S373" s="25"/>
      <c r="T373" s="28" t="str">
        <f aca="false">IF(N373="","",IF(AND(N373="수정",O373&lt;&gt;""),O373,J373))</f>
        <v/>
      </c>
      <c r="U373" s="28" t="str">
        <f aca="false">IF(N373="","",IF(AND(N373="수정",P373&lt;&gt;""),P373,K373))</f>
        <v/>
      </c>
      <c r="V373" s="28" t="str">
        <f aca="false">IF(N373="","",IF(N373="수정",IF(Q373&lt;&gt;"",Q373,IF(OR(U373="명시 없음",U373="유보",U373="절 아님"),"",L373)),L373))</f>
        <v/>
      </c>
    </row>
    <row r="374" customFormat="false" ht="15" hidden="false" customHeight="false" outlineLevel="0" collapsed="false">
      <c r="A374" s="24" t="s">
        <v>200</v>
      </c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5"/>
      <c r="O374" s="25"/>
      <c r="P374" s="25"/>
      <c r="Q374" s="25"/>
      <c r="R374" s="25"/>
      <c r="S374" s="25"/>
      <c r="T374" s="28" t="str">
        <f aca="false">IF(N374="","",IF(AND(N374="수정",O374&lt;&gt;""),O374,J374))</f>
        <v/>
      </c>
      <c r="U374" s="28" t="str">
        <f aca="false">IF(N374="","",IF(AND(N374="수정",P374&lt;&gt;""),P374,K374))</f>
        <v/>
      </c>
      <c r="V374" s="28" t="str">
        <f aca="false">IF(N374="","",IF(N374="수정",IF(Q374&lt;&gt;"",Q374,IF(OR(U374="명시 없음",U374="유보",U374="절 아님"),"",L374)),L374))</f>
        <v/>
      </c>
    </row>
    <row r="375" customFormat="false" ht="15" hidden="false" customHeight="false" outlineLevel="0" collapsed="false">
      <c r="A375" s="24" t="s">
        <v>200</v>
      </c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5"/>
      <c r="O375" s="25"/>
      <c r="P375" s="25"/>
      <c r="Q375" s="25"/>
      <c r="R375" s="25"/>
      <c r="S375" s="25"/>
      <c r="T375" s="28" t="str">
        <f aca="false">IF(N375="","",IF(AND(N375="수정",O375&lt;&gt;""),O375,J375))</f>
        <v/>
      </c>
      <c r="U375" s="28" t="str">
        <f aca="false">IF(N375="","",IF(AND(N375="수정",P375&lt;&gt;""),P375,K375))</f>
        <v/>
      </c>
      <c r="V375" s="28" t="str">
        <f aca="false">IF(N375="","",IF(N375="수정",IF(Q375&lt;&gt;"",Q375,IF(OR(U375="명시 없음",U375="유보",U375="절 아님"),"",L375)),L375))</f>
        <v/>
      </c>
    </row>
    <row r="376" customFormat="false" ht="15" hidden="false" customHeight="false" outlineLevel="0" collapsed="false">
      <c r="A376" s="24" t="s">
        <v>200</v>
      </c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5"/>
      <c r="O376" s="25"/>
      <c r="P376" s="25"/>
      <c r="Q376" s="25"/>
      <c r="R376" s="25"/>
      <c r="S376" s="25"/>
      <c r="T376" s="28" t="str">
        <f aca="false">IF(N376="","",IF(AND(N376="수정",O376&lt;&gt;""),O376,J376))</f>
        <v/>
      </c>
      <c r="U376" s="28" t="str">
        <f aca="false">IF(N376="","",IF(AND(N376="수정",P376&lt;&gt;""),P376,K376))</f>
        <v/>
      </c>
      <c r="V376" s="28" t="str">
        <f aca="false">IF(N376="","",IF(N376="수정",IF(Q376&lt;&gt;"",Q376,IF(OR(U376="명시 없음",U376="유보",U376="절 아님"),"",L376)),L376))</f>
        <v/>
      </c>
    </row>
    <row r="377" customFormat="false" ht="15" hidden="false" customHeight="false" outlineLevel="0" collapsed="false">
      <c r="A377" s="24" t="s">
        <v>200</v>
      </c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5"/>
      <c r="O377" s="25"/>
      <c r="P377" s="25"/>
      <c r="Q377" s="25"/>
      <c r="R377" s="25"/>
      <c r="S377" s="25"/>
      <c r="T377" s="28" t="str">
        <f aca="false">IF(N377="","",IF(AND(N377="수정",O377&lt;&gt;""),O377,J377))</f>
        <v/>
      </c>
      <c r="U377" s="28" t="str">
        <f aca="false">IF(N377="","",IF(AND(N377="수정",P377&lt;&gt;""),P377,K377))</f>
        <v/>
      </c>
      <c r="V377" s="28" t="str">
        <f aca="false">IF(N377="","",IF(N377="수정",IF(Q377&lt;&gt;"",Q377,IF(OR(U377="명시 없음",U377="유보",U377="절 아님"),"",L377)),L377))</f>
        <v/>
      </c>
    </row>
    <row r="378" customFormat="false" ht="15" hidden="false" customHeight="false" outlineLevel="0" collapsed="false">
      <c r="A378" s="24" t="s">
        <v>200</v>
      </c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5"/>
      <c r="O378" s="25"/>
      <c r="P378" s="25"/>
      <c r="Q378" s="25"/>
      <c r="R378" s="25"/>
      <c r="S378" s="25"/>
      <c r="T378" s="28" t="str">
        <f aca="false">IF(N378="","",IF(AND(N378="수정",O378&lt;&gt;""),O378,J378))</f>
        <v/>
      </c>
      <c r="U378" s="28" t="str">
        <f aca="false">IF(N378="","",IF(AND(N378="수정",P378&lt;&gt;""),P378,K378))</f>
        <v/>
      </c>
      <c r="V378" s="28" t="str">
        <f aca="false">IF(N378="","",IF(N378="수정",IF(Q378&lt;&gt;"",Q378,IF(OR(U378="명시 없음",U378="유보",U378="절 아님"),"",L378)),L378))</f>
        <v/>
      </c>
    </row>
    <row r="379" customFormat="false" ht="15" hidden="false" customHeight="false" outlineLevel="0" collapsed="false">
      <c r="A379" s="24" t="s">
        <v>200</v>
      </c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5"/>
      <c r="O379" s="25"/>
      <c r="P379" s="25"/>
      <c r="Q379" s="25"/>
      <c r="R379" s="25"/>
      <c r="S379" s="25"/>
      <c r="T379" s="28" t="str">
        <f aca="false">IF(N379="","",IF(AND(N379="수정",O379&lt;&gt;""),O379,J379))</f>
        <v/>
      </c>
      <c r="U379" s="28" t="str">
        <f aca="false">IF(N379="","",IF(AND(N379="수정",P379&lt;&gt;""),P379,K379))</f>
        <v/>
      </c>
      <c r="V379" s="28" t="str">
        <f aca="false">IF(N379="","",IF(N379="수정",IF(Q379&lt;&gt;"",Q379,IF(OR(U379="명시 없음",U379="유보",U379="절 아님"),"",L379)),L379))</f>
        <v/>
      </c>
    </row>
    <row r="380" customFormat="false" ht="15" hidden="false" customHeight="false" outlineLevel="0" collapsed="false">
      <c r="A380" s="24" t="s">
        <v>200</v>
      </c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5"/>
      <c r="O380" s="25"/>
      <c r="P380" s="25"/>
      <c r="Q380" s="25"/>
      <c r="R380" s="25"/>
      <c r="S380" s="25"/>
      <c r="T380" s="28" t="str">
        <f aca="false">IF(N380="","",IF(AND(N380="수정",O380&lt;&gt;""),O380,J380))</f>
        <v/>
      </c>
      <c r="U380" s="28" t="str">
        <f aca="false">IF(N380="","",IF(AND(N380="수정",P380&lt;&gt;""),P380,K380))</f>
        <v/>
      </c>
      <c r="V380" s="28" t="str">
        <f aca="false">IF(N380="","",IF(N380="수정",IF(Q380&lt;&gt;"",Q380,IF(OR(U380="명시 없음",U380="유보",U380="절 아님"),"",L380)),L380))</f>
        <v/>
      </c>
    </row>
    <row r="381" customFormat="false" ht="15" hidden="false" customHeight="false" outlineLevel="0" collapsed="false">
      <c r="A381" s="24" t="s">
        <v>200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5"/>
      <c r="O381" s="25"/>
      <c r="P381" s="25"/>
      <c r="Q381" s="25"/>
      <c r="R381" s="25"/>
      <c r="S381" s="25"/>
      <c r="T381" s="28" t="str">
        <f aca="false">IF(N381="","",IF(AND(N381="수정",O381&lt;&gt;""),O381,J381))</f>
        <v/>
      </c>
      <c r="U381" s="28" t="str">
        <f aca="false">IF(N381="","",IF(AND(N381="수정",P381&lt;&gt;""),P381,K381))</f>
        <v/>
      </c>
      <c r="V381" s="28" t="str">
        <f aca="false">IF(N381="","",IF(N381="수정",IF(Q381&lt;&gt;"",Q381,IF(OR(U381="명시 없음",U381="유보",U381="절 아님"),"",L381)),L381))</f>
        <v/>
      </c>
    </row>
    <row r="382" customFormat="false" ht="15" hidden="false" customHeight="false" outlineLevel="0" collapsed="false">
      <c r="A382" s="24" t="s">
        <v>200</v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5"/>
      <c r="O382" s="25"/>
      <c r="P382" s="25"/>
      <c r="Q382" s="25"/>
      <c r="R382" s="25"/>
      <c r="S382" s="25"/>
      <c r="T382" s="28" t="str">
        <f aca="false">IF(N382="","",IF(AND(N382="수정",O382&lt;&gt;""),O382,J382))</f>
        <v/>
      </c>
      <c r="U382" s="28" t="str">
        <f aca="false">IF(N382="","",IF(AND(N382="수정",P382&lt;&gt;""),P382,K382))</f>
        <v/>
      </c>
      <c r="V382" s="28" t="str">
        <f aca="false">IF(N382="","",IF(N382="수정",IF(Q382&lt;&gt;"",Q382,IF(OR(U382="명시 없음",U382="유보",U382="절 아님"),"",L382)),L382))</f>
        <v/>
      </c>
    </row>
    <row r="383" customFormat="false" ht="15" hidden="false" customHeight="false" outlineLevel="0" collapsed="false">
      <c r="A383" s="24" t="s">
        <v>200</v>
      </c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5"/>
      <c r="O383" s="25"/>
      <c r="P383" s="25"/>
      <c r="Q383" s="25"/>
      <c r="R383" s="25"/>
      <c r="S383" s="25"/>
      <c r="T383" s="28" t="str">
        <f aca="false">IF(N383="","",IF(AND(N383="수정",O383&lt;&gt;""),O383,J383))</f>
        <v/>
      </c>
      <c r="U383" s="28" t="str">
        <f aca="false">IF(N383="","",IF(AND(N383="수정",P383&lt;&gt;""),P383,K383))</f>
        <v/>
      </c>
      <c r="V383" s="28" t="str">
        <f aca="false">IF(N383="","",IF(N383="수정",IF(Q383&lt;&gt;"",Q383,IF(OR(U383="명시 없음",U383="유보",U383="절 아님"),"",L383)),L383))</f>
        <v/>
      </c>
    </row>
    <row r="384" customFormat="false" ht="15" hidden="false" customHeight="false" outlineLevel="0" collapsed="false">
      <c r="A384" s="24" t="s">
        <v>200</v>
      </c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5"/>
      <c r="O384" s="25"/>
      <c r="P384" s="25"/>
      <c r="Q384" s="25"/>
      <c r="R384" s="25"/>
      <c r="S384" s="25"/>
      <c r="T384" s="28" t="str">
        <f aca="false">IF(N384="","",IF(AND(N384="수정",O384&lt;&gt;""),O384,J384))</f>
        <v/>
      </c>
      <c r="U384" s="28" t="str">
        <f aca="false">IF(N384="","",IF(AND(N384="수정",P384&lt;&gt;""),P384,K384))</f>
        <v/>
      </c>
      <c r="V384" s="28" t="str">
        <f aca="false">IF(N384="","",IF(N384="수정",IF(Q384&lt;&gt;"",Q384,IF(OR(U384="명시 없음",U384="유보",U384="절 아님"),"",L384)),L384))</f>
        <v/>
      </c>
    </row>
    <row r="385" customFormat="false" ht="15" hidden="false" customHeight="false" outlineLevel="0" collapsed="false">
      <c r="A385" s="24" t="s">
        <v>200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5"/>
      <c r="O385" s="25"/>
      <c r="P385" s="25"/>
      <c r="Q385" s="25"/>
      <c r="R385" s="25"/>
      <c r="S385" s="25"/>
      <c r="T385" s="28" t="str">
        <f aca="false">IF(N385="","",IF(AND(N385="수정",O385&lt;&gt;""),O385,J385))</f>
        <v/>
      </c>
      <c r="U385" s="28" t="str">
        <f aca="false">IF(N385="","",IF(AND(N385="수정",P385&lt;&gt;""),P385,K385))</f>
        <v/>
      </c>
      <c r="V385" s="28" t="str">
        <f aca="false">IF(N385="","",IF(N385="수정",IF(Q385&lt;&gt;"",Q385,IF(OR(U385="명시 없음",U385="유보",U385="절 아님"),"",L385)),L385))</f>
        <v/>
      </c>
    </row>
    <row r="386" customFormat="false" ht="15" hidden="false" customHeight="false" outlineLevel="0" collapsed="false">
      <c r="A386" s="24" t="s">
        <v>200</v>
      </c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5"/>
      <c r="O386" s="25"/>
      <c r="P386" s="25"/>
      <c r="Q386" s="25"/>
      <c r="R386" s="25"/>
      <c r="S386" s="25"/>
      <c r="T386" s="28" t="str">
        <f aca="false">IF(N386="","",IF(AND(N386="수정",O386&lt;&gt;""),O386,J386))</f>
        <v/>
      </c>
      <c r="U386" s="28" t="str">
        <f aca="false">IF(N386="","",IF(AND(N386="수정",P386&lt;&gt;""),P386,K386))</f>
        <v/>
      </c>
      <c r="V386" s="28" t="str">
        <f aca="false">IF(N386="","",IF(N386="수정",IF(Q386&lt;&gt;"",Q386,IF(OR(U386="명시 없음",U386="유보",U386="절 아님"),"",L386)),L386))</f>
        <v/>
      </c>
    </row>
    <row r="387" customFormat="false" ht="15" hidden="false" customHeight="false" outlineLevel="0" collapsed="false">
      <c r="A387" s="24" t="s">
        <v>200</v>
      </c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5"/>
      <c r="O387" s="25"/>
      <c r="P387" s="25"/>
      <c r="Q387" s="25"/>
      <c r="R387" s="25"/>
      <c r="S387" s="25"/>
      <c r="T387" s="28" t="str">
        <f aca="false">IF(N387="","",IF(AND(N387="수정",O387&lt;&gt;""),O387,J387))</f>
        <v/>
      </c>
      <c r="U387" s="28" t="str">
        <f aca="false">IF(N387="","",IF(AND(N387="수정",P387&lt;&gt;""),P387,K387))</f>
        <v/>
      </c>
      <c r="V387" s="28" t="str">
        <f aca="false">IF(N387="","",IF(N387="수정",IF(Q387&lt;&gt;"",Q387,IF(OR(U387="명시 없음",U387="유보",U387="절 아님"),"",L387)),L387))</f>
        <v/>
      </c>
    </row>
    <row r="388" customFormat="false" ht="15" hidden="false" customHeight="false" outlineLevel="0" collapsed="false">
      <c r="A388" s="24" t="s">
        <v>200</v>
      </c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5"/>
      <c r="O388" s="25"/>
      <c r="P388" s="25"/>
      <c r="Q388" s="25"/>
      <c r="R388" s="25"/>
      <c r="S388" s="25"/>
      <c r="T388" s="28" t="str">
        <f aca="false">IF(N388="","",IF(AND(N388="수정",O388&lt;&gt;""),O388,J388))</f>
        <v/>
      </c>
      <c r="U388" s="28" t="str">
        <f aca="false">IF(N388="","",IF(AND(N388="수정",P388&lt;&gt;""),P388,K388))</f>
        <v/>
      </c>
      <c r="V388" s="28" t="str">
        <f aca="false">IF(N388="","",IF(N388="수정",IF(Q388&lt;&gt;"",Q388,IF(OR(U388="명시 없음",U388="유보",U388="절 아님"),"",L388)),L388))</f>
        <v/>
      </c>
    </row>
    <row r="389" customFormat="false" ht="15" hidden="false" customHeight="false" outlineLevel="0" collapsed="false">
      <c r="A389" s="24" t="s">
        <v>200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5"/>
      <c r="P389" s="25"/>
      <c r="Q389" s="25"/>
      <c r="R389" s="25"/>
      <c r="S389" s="25"/>
      <c r="T389" s="28" t="str">
        <f aca="false">IF(N389="","",IF(AND(N389="수정",O389&lt;&gt;""),O389,J389))</f>
        <v/>
      </c>
      <c r="U389" s="28" t="str">
        <f aca="false">IF(N389="","",IF(AND(N389="수정",P389&lt;&gt;""),P389,K389))</f>
        <v/>
      </c>
      <c r="V389" s="28" t="str">
        <f aca="false">IF(N389="","",IF(N389="수정",IF(Q389&lt;&gt;"",Q389,IF(OR(U389="명시 없음",U389="유보",U389="절 아님"),"",L389)),L389))</f>
        <v/>
      </c>
    </row>
    <row r="390" customFormat="false" ht="15" hidden="false" customHeight="false" outlineLevel="0" collapsed="false">
      <c r="A390" s="24" t="s">
        <v>200</v>
      </c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5"/>
      <c r="O390" s="25"/>
      <c r="P390" s="25"/>
      <c r="Q390" s="25"/>
      <c r="R390" s="25"/>
      <c r="S390" s="25"/>
      <c r="T390" s="28" t="str">
        <f aca="false">IF(N390="","",IF(AND(N390="수정",O390&lt;&gt;""),O390,J390))</f>
        <v/>
      </c>
      <c r="U390" s="28" t="str">
        <f aca="false">IF(N390="","",IF(AND(N390="수정",P390&lt;&gt;""),P390,K390))</f>
        <v/>
      </c>
      <c r="V390" s="28" t="str">
        <f aca="false">IF(N390="","",IF(N390="수정",IF(Q390&lt;&gt;"",Q390,IF(OR(U390="명시 없음",U390="유보",U390="절 아님"),"",L390)),L390))</f>
        <v/>
      </c>
    </row>
    <row r="391" customFormat="false" ht="15" hidden="false" customHeight="false" outlineLevel="0" collapsed="false">
      <c r="A391" s="24" t="s">
        <v>200</v>
      </c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5"/>
      <c r="O391" s="25"/>
      <c r="P391" s="25"/>
      <c r="Q391" s="25"/>
      <c r="R391" s="25"/>
      <c r="S391" s="25"/>
      <c r="T391" s="28" t="str">
        <f aca="false">IF(N391="","",IF(AND(N391="수정",O391&lt;&gt;""),O391,J391))</f>
        <v/>
      </c>
      <c r="U391" s="28" t="str">
        <f aca="false">IF(N391="","",IF(AND(N391="수정",P391&lt;&gt;""),P391,K391))</f>
        <v/>
      </c>
      <c r="V391" s="28" t="str">
        <f aca="false">IF(N391="","",IF(N391="수정",IF(Q391&lt;&gt;"",Q391,IF(OR(U391="명시 없음",U391="유보",U391="절 아님"),"",L391)),L391))</f>
        <v/>
      </c>
    </row>
    <row r="392" customFormat="false" ht="15" hidden="false" customHeight="false" outlineLevel="0" collapsed="false">
      <c r="A392" s="24" t="s">
        <v>200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5"/>
      <c r="O392" s="25"/>
      <c r="P392" s="25"/>
      <c r="Q392" s="25"/>
      <c r="R392" s="25"/>
      <c r="S392" s="25"/>
      <c r="T392" s="28" t="str">
        <f aca="false">IF(N392="","",IF(AND(N392="수정",O392&lt;&gt;""),O392,J392))</f>
        <v/>
      </c>
      <c r="U392" s="28" t="str">
        <f aca="false">IF(N392="","",IF(AND(N392="수정",P392&lt;&gt;""),P392,K392))</f>
        <v/>
      </c>
      <c r="V392" s="28" t="str">
        <f aca="false">IF(N392="","",IF(N392="수정",IF(Q392&lt;&gt;"",Q392,IF(OR(U392="명시 없음",U392="유보",U392="절 아님"),"",L392)),L392))</f>
        <v/>
      </c>
    </row>
    <row r="393" customFormat="false" ht="15" hidden="false" customHeight="false" outlineLevel="0" collapsed="false">
      <c r="A393" s="24" t="s">
        <v>200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5"/>
      <c r="O393" s="25"/>
      <c r="P393" s="25"/>
      <c r="Q393" s="25"/>
      <c r="R393" s="25"/>
      <c r="S393" s="25"/>
      <c r="T393" s="28" t="str">
        <f aca="false">IF(N393="","",IF(AND(N393="수정",O393&lt;&gt;""),O393,J393))</f>
        <v/>
      </c>
      <c r="U393" s="28" t="str">
        <f aca="false">IF(N393="","",IF(AND(N393="수정",P393&lt;&gt;""),P393,K393))</f>
        <v/>
      </c>
      <c r="V393" s="28" t="str">
        <f aca="false">IF(N393="","",IF(N393="수정",IF(Q393&lt;&gt;"",Q393,IF(OR(U393="명시 없음",U393="유보",U393="절 아님"),"",L393)),L393))</f>
        <v/>
      </c>
    </row>
    <row r="394" customFormat="false" ht="15" hidden="false" customHeight="false" outlineLevel="0" collapsed="false">
      <c r="A394" s="24" t="s">
        <v>200</v>
      </c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5"/>
      <c r="O394" s="25"/>
      <c r="P394" s="25"/>
      <c r="Q394" s="25"/>
      <c r="R394" s="25"/>
      <c r="S394" s="25"/>
      <c r="T394" s="28" t="str">
        <f aca="false">IF(N394="","",IF(AND(N394="수정",O394&lt;&gt;""),O394,J394))</f>
        <v/>
      </c>
      <c r="U394" s="28" t="str">
        <f aca="false">IF(N394="","",IF(AND(N394="수정",P394&lt;&gt;""),P394,K394))</f>
        <v/>
      </c>
      <c r="V394" s="28" t="str">
        <f aca="false">IF(N394="","",IF(N394="수정",IF(Q394&lt;&gt;"",Q394,IF(OR(U394="명시 없음",U394="유보",U394="절 아님"),"",L394)),L394))</f>
        <v/>
      </c>
    </row>
    <row r="395" customFormat="false" ht="15" hidden="false" customHeight="false" outlineLevel="0" collapsed="false">
      <c r="A395" s="24" t="s">
        <v>200</v>
      </c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5"/>
      <c r="O395" s="25"/>
      <c r="P395" s="25"/>
      <c r="Q395" s="25"/>
      <c r="R395" s="25"/>
      <c r="S395" s="25"/>
      <c r="T395" s="28" t="str">
        <f aca="false">IF(N395="","",IF(AND(N395="수정",O395&lt;&gt;""),O395,J395))</f>
        <v/>
      </c>
      <c r="U395" s="28" t="str">
        <f aca="false">IF(N395="","",IF(AND(N395="수정",P395&lt;&gt;""),P395,K395))</f>
        <v/>
      </c>
      <c r="V395" s="28" t="str">
        <f aca="false">IF(N395="","",IF(N395="수정",IF(Q395&lt;&gt;"",Q395,IF(OR(U395="명시 없음",U395="유보",U395="절 아님"),"",L395)),L395))</f>
        <v/>
      </c>
    </row>
    <row r="396" customFormat="false" ht="15" hidden="false" customHeight="false" outlineLevel="0" collapsed="false">
      <c r="A396" s="24" t="s">
        <v>200</v>
      </c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25"/>
      <c r="P396" s="25"/>
      <c r="Q396" s="25"/>
      <c r="R396" s="25"/>
      <c r="S396" s="25"/>
      <c r="T396" s="28" t="str">
        <f aca="false">IF(N396="","",IF(AND(N396="수정",O396&lt;&gt;""),O396,J396))</f>
        <v/>
      </c>
      <c r="U396" s="28" t="str">
        <f aca="false">IF(N396="","",IF(AND(N396="수정",P396&lt;&gt;""),P396,K396))</f>
        <v/>
      </c>
      <c r="V396" s="28" t="str">
        <f aca="false">IF(N396="","",IF(N396="수정",IF(Q396&lt;&gt;"",Q396,IF(OR(U396="명시 없음",U396="유보",U396="절 아님"),"",L396)),L396))</f>
        <v/>
      </c>
    </row>
    <row r="397" customFormat="false" ht="15" hidden="false" customHeight="false" outlineLevel="0" collapsed="false">
      <c r="A397" s="24" t="s">
        <v>200</v>
      </c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5"/>
      <c r="O397" s="25"/>
      <c r="P397" s="25"/>
      <c r="Q397" s="25"/>
      <c r="R397" s="25"/>
      <c r="S397" s="25"/>
      <c r="T397" s="28" t="str">
        <f aca="false">IF(N397="","",IF(AND(N397="수정",O397&lt;&gt;""),O397,J397))</f>
        <v/>
      </c>
      <c r="U397" s="28" t="str">
        <f aca="false">IF(N397="","",IF(AND(N397="수정",P397&lt;&gt;""),P397,K397))</f>
        <v/>
      </c>
      <c r="V397" s="28" t="str">
        <f aca="false">IF(N397="","",IF(N397="수정",IF(Q397&lt;&gt;"",Q397,IF(OR(U397="명시 없음",U397="유보",U397="절 아님"),"",L397)),L397))</f>
        <v/>
      </c>
    </row>
    <row r="398" customFormat="false" ht="15" hidden="false" customHeight="false" outlineLevel="0" collapsed="false">
      <c r="A398" s="24" t="s">
        <v>200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5"/>
      <c r="O398" s="25"/>
      <c r="P398" s="25"/>
      <c r="Q398" s="25"/>
      <c r="R398" s="25"/>
      <c r="S398" s="25"/>
      <c r="T398" s="28" t="str">
        <f aca="false">IF(N398="","",IF(AND(N398="수정",O398&lt;&gt;""),O398,J398))</f>
        <v/>
      </c>
      <c r="U398" s="28" t="str">
        <f aca="false">IF(N398="","",IF(AND(N398="수정",P398&lt;&gt;""),P398,K398))</f>
        <v/>
      </c>
      <c r="V398" s="28" t="str">
        <f aca="false">IF(N398="","",IF(N398="수정",IF(Q398&lt;&gt;"",Q398,IF(OR(U398="명시 없음",U398="유보",U398="절 아님"),"",L398)),L398))</f>
        <v/>
      </c>
    </row>
    <row r="399" customFormat="false" ht="15" hidden="false" customHeight="false" outlineLevel="0" collapsed="false">
      <c r="A399" s="24" t="s">
        <v>200</v>
      </c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5"/>
      <c r="O399" s="25"/>
      <c r="P399" s="25"/>
      <c r="Q399" s="25"/>
      <c r="R399" s="25"/>
      <c r="S399" s="25"/>
      <c r="T399" s="28" t="str">
        <f aca="false">IF(N399="","",IF(AND(N399="수정",O399&lt;&gt;""),O399,J399))</f>
        <v/>
      </c>
      <c r="U399" s="28" t="str">
        <f aca="false">IF(N399="","",IF(AND(N399="수정",P399&lt;&gt;""),P399,K399))</f>
        <v/>
      </c>
      <c r="V399" s="28" t="str">
        <f aca="false">IF(N399="","",IF(N399="수정",IF(Q399&lt;&gt;"",Q399,IF(OR(U399="명시 없음",U399="유보",U399="절 아님"),"",L399)),L399))</f>
        <v/>
      </c>
    </row>
    <row r="400" customFormat="false" ht="15" hidden="false" customHeight="false" outlineLevel="0" collapsed="false">
      <c r="A400" s="24" t="s">
        <v>200</v>
      </c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5"/>
      <c r="O400" s="25"/>
      <c r="P400" s="25"/>
      <c r="Q400" s="25"/>
      <c r="R400" s="25"/>
      <c r="S400" s="25"/>
      <c r="T400" s="28" t="str">
        <f aca="false">IF(N400="","",IF(AND(N400="수정",O400&lt;&gt;""),O400,J400))</f>
        <v/>
      </c>
      <c r="U400" s="28" t="str">
        <f aca="false">IF(N400="","",IF(AND(N400="수정",P400&lt;&gt;""),P400,K400))</f>
        <v/>
      </c>
      <c r="V400" s="28" t="str">
        <f aca="false">IF(N400="","",IF(N400="수정",IF(Q400&lt;&gt;"",Q400,IF(OR(U400="명시 없음",U400="유보",U400="절 아님"),"",L400)),L400))</f>
        <v/>
      </c>
    </row>
    <row r="401" customFormat="false" ht="15" hidden="false" customHeight="false" outlineLevel="0" collapsed="false">
      <c r="A401" s="24" t="s">
        <v>200</v>
      </c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5"/>
      <c r="O401" s="25"/>
      <c r="P401" s="25"/>
      <c r="Q401" s="25"/>
      <c r="R401" s="25"/>
      <c r="S401" s="25"/>
      <c r="T401" s="28" t="str">
        <f aca="false">IF(N401="","",IF(AND(N401="수정",O401&lt;&gt;""),O401,J401))</f>
        <v/>
      </c>
      <c r="U401" s="28" t="str">
        <f aca="false">IF(N401="","",IF(AND(N401="수정",P401&lt;&gt;""),P401,K401))</f>
        <v/>
      </c>
      <c r="V401" s="28" t="str">
        <f aca="false">IF(N401="","",IF(N401="수정",IF(Q401&lt;&gt;"",Q401,IF(OR(U401="명시 없음",U401="유보",U401="절 아님"),"",L401)),L401))</f>
        <v/>
      </c>
    </row>
    <row r="402" customFormat="false" ht="15" hidden="false" customHeight="false" outlineLevel="0" collapsed="false">
      <c r="A402" s="24" t="s">
        <v>200</v>
      </c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5"/>
      <c r="O402" s="25"/>
      <c r="P402" s="25"/>
      <c r="Q402" s="25"/>
      <c r="R402" s="25"/>
      <c r="S402" s="25"/>
      <c r="T402" s="28" t="str">
        <f aca="false">IF(N402="","",IF(AND(N402="수정",O402&lt;&gt;""),O402,J402))</f>
        <v/>
      </c>
      <c r="U402" s="28" t="str">
        <f aca="false">IF(N402="","",IF(AND(N402="수정",P402&lt;&gt;""),P402,K402))</f>
        <v/>
      </c>
      <c r="V402" s="28" t="str">
        <f aca="false">IF(N402="","",IF(N402="수정",IF(Q402&lt;&gt;"",Q402,IF(OR(U402="명시 없음",U402="유보",U402="절 아님"),"",L402)),L402))</f>
        <v/>
      </c>
    </row>
    <row r="403" customFormat="false" ht="15" hidden="false" customHeight="false" outlineLevel="0" collapsed="false">
      <c r="A403" s="24" t="s">
        <v>200</v>
      </c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5"/>
      <c r="O403" s="25"/>
      <c r="P403" s="25"/>
      <c r="Q403" s="25"/>
      <c r="R403" s="25"/>
      <c r="S403" s="25"/>
      <c r="T403" s="28" t="str">
        <f aca="false">IF(N403="","",IF(AND(N403="수정",O403&lt;&gt;""),O403,J403))</f>
        <v/>
      </c>
      <c r="U403" s="28" t="str">
        <f aca="false">IF(N403="","",IF(AND(N403="수정",P403&lt;&gt;""),P403,K403))</f>
        <v/>
      </c>
      <c r="V403" s="28" t="str">
        <f aca="false">IF(N403="","",IF(N403="수정",IF(Q403&lt;&gt;"",Q403,IF(OR(U403="명시 없음",U403="유보",U403="절 아님"),"",L403)),L403))</f>
        <v/>
      </c>
    </row>
    <row r="404" customFormat="false" ht="15" hidden="false" customHeight="false" outlineLevel="0" collapsed="false">
      <c r="A404" s="24" t="s">
        <v>200</v>
      </c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5"/>
      <c r="O404" s="25"/>
      <c r="P404" s="25"/>
      <c r="Q404" s="25"/>
      <c r="R404" s="25"/>
      <c r="S404" s="25"/>
      <c r="T404" s="28" t="str">
        <f aca="false">IF(N404="","",IF(AND(N404="수정",O404&lt;&gt;""),O404,J404))</f>
        <v/>
      </c>
      <c r="U404" s="28" t="str">
        <f aca="false">IF(N404="","",IF(AND(N404="수정",P404&lt;&gt;""),P404,K404))</f>
        <v/>
      </c>
      <c r="V404" s="28" t="str">
        <f aca="false">IF(N404="","",IF(N404="수정",IF(Q404&lt;&gt;"",Q404,IF(OR(U404="명시 없음",U404="유보",U404="절 아님"),"",L404)),L404))</f>
        <v/>
      </c>
    </row>
    <row r="405" customFormat="false" ht="15" hidden="false" customHeight="false" outlineLevel="0" collapsed="false">
      <c r="A405" s="24" t="s">
        <v>200</v>
      </c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5"/>
      <c r="O405" s="25"/>
      <c r="P405" s="25"/>
      <c r="Q405" s="25"/>
      <c r="R405" s="25"/>
      <c r="S405" s="25"/>
      <c r="T405" s="28" t="str">
        <f aca="false">IF(N405="","",IF(AND(N405="수정",O405&lt;&gt;""),O405,J405))</f>
        <v/>
      </c>
      <c r="U405" s="28" t="str">
        <f aca="false">IF(N405="","",IF(AND(N405="수정",P405&lt;&gt;""),P405,K405))</f>
        <v/>
      </c>
      <c r="V405" s="28" t="str">
        <f aca="false">IF(N405="","",IF(N405="수정",IF(Q405&lt;&gt;"",Q405,IF(OR(U405="명시 없음",U405="유보",U405="절 아님"),"",L405)),L405))</f>
        <v/>
      </c>
    </row>
    <row r="406" customFormat="false" ht="15" hidden="false" customHeight="false" outlineLevel="0" collapsed="false">
      <c r="A406" s="24" t="s">
        <v>200</v>
      </c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5"/>
      <c r="O406" s="25"/>
      <c r="P406" s="25"/>
      <c r="Q406" s="25"/>
      <c r="R406" s="25"/>
      <c r="S406" s="25"/>
      <c r="T406" s="28" t="str">
        <f aca="false">IF(N406="","",IF(AND(N406="수정",O406&lt;&gt;""),O406,J406))</f>
        <v/>
      </c>
      <c r="U406" s="28" t="str">
        <f aca="false">IF(N406="","",IF(AND(N406="수정",P406&lt;&gt;""),P406,K406))</f>
        <v/>
      </c>
      <c r="V406" s="28" t="str">
        <f aca="false">IF(N406="","",IF(N406="수정",IF(Q406&lt;&gt;"",Q406,IF(OR(U406="명시 없음",U406="유보",U406="절 아님"),"",L406)),L406))</f>
        <v/>
      </c>
    </row>
    <row r="407" customFormat="false" ht="15" hidden="false" customHeight="false" outlineLevel="0" collapsed="false">
      <c r="A407" s="24" t="s">
        <v>200</v>
      </c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5"/>
      <c r="O407" s="25"/>
      <c r="P407" s="25"/>
      <c r="Q407" s="25"/>
      <c r="R407" s="25"/>
      <c r="S407" s="25"/>
      <c r="T407" s="28" t="str">
        <f aca="false">IF(N407="","",IF(AND(N407="수정",O407&lt;&gt;""),O407,J407))</f>
        <v/>
      </c>
      <c r="U407" s="28" t="str">
        <f aca="false">IF(N407="","",IF(AND(N407="수정",P407&lt;&gt;""),P407,K407))</f>
        <v/>
      </c>
      <c r="V407" s="28" t="str">
        <f aca="false">IF(N407="","",IF(N407="수정",IF(Q407&lt;&gt;"",Q407,IF(OR(U407="명시 없음",U407="유보",U407="절 아님"),"",L407)),L407))</f>
        <v/>
      </c>
    </row>
    <row r="408" customFormat="false" ht="15" hidden="false" customHeight="false" outlineLevel="0" collapsed="false">
      <c r="A408" s="24" t="s">
        <v>200</v>
      </c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5"/>
      <c r="O408" s="25"/>
      <c r="P408" s="25"/>
      <c r="Q408" s="25"/>
      <c r="R408" s="25"/>
      <c r="S408" s="25"/>
      <c r="T408" s="28" t="str">
        <f aca="false">IF(N408="","",IF(AND(N408="수정",O408&lt;&gt;""),O408,J408))</f>
        <v/>
      </c>
      <c r="U408" s="28" t="str">
        <f aca="false">IF(N408="","",IF(AND(N408="수정",P408&lt;&gt;""),P408,K408))</f>
        <v/>
      </c>
      <c r="V408" s="28" t="str">
        <f aca="false">IF(N408="","",IF(N408="수정",IF(Q408&lt;&gt;"",Q408,IF(OR(U408="명시 없음",U408="유보",U408="절 아님"),"",L408)),L408))</f>
        <v/>
      </c>
    </row>
    <row r="409" customFormat="false" ht="15" hidden="false" customHeight="false" outlineLevel="0" collapsed="false">
      <c r="A409" s="24" t="s">
        <v>200</v>
      </c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5"/>
      <c r="O409" s="25"/>
      <c r="P409" s="25"/>
      <c r="Q409" s="25"/>
      <c r="R409" s="25"/>
      <c r="S409" s="25"/>
      <c r="T409" s="28" t="str">
        <f aca="false">IF(N409="","",IF(AND(N409="수정",O409&lt;&gt;""),O409,J409))</f>
        <v/>
      </c>
      <c r="U409" s="28" t="str">
        <f aca="false">IF(N409="","",IF(AND(N409="수정",P409&lt;&gt;""),P409,K409))</f>
        <v/>
      </c>
      <c r="V409" s="28" t="str">
        <f aca="false">IF(N409="","",IF(N409="수정",IF(Q409&lt;&gt;"",Q409,IF(OR(U409="명시 없음",U409="유보",U409="절 아님"),"",L409)),L409))</f>
        <v/>
      </c>
    </row>
    <row r="410" customFormat="false" ht="15" hidden="false" customHeight="false" outlineLevel="0" collapsed="false">
      <c r="A410" s="24" t="s">
        <v>200</v>
      </c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5"/>
      <c r="O410" s="25"/>
      <c r="P410" s="25"/>
      <c r="Q410" s="25"/>
      <c r="R410" s="25"/>
      <c r="S410" s="25"/>
      <c r="T410" s="28" t="str">
        <f aca="false">IF(N410="","",IF(AND(N410="수정",O410&lt;&gt;""),O410,J410))</f>
        <v/>
      </c>
      <c r="U410" s="28" t="str">
        <f aca="false">IF(N410="","",IF(AND(N410="수정",P410&lt;&gt;""),P410,K410))</f>
        <v/>
      </c>
      <c r="V410" s="28" t="str">
        <f aca="false">IF(N410="","",IF(N410="수정",IF(Q410&lt;&gt;"",Q410,IF(OR(U410="명시 없음",U410="유보",U410="절 아님"),"",L410)),L410))</f>
        <v/>
      </c>
    </row>
    <row r="411" customFormat="false" ht="15" hidden="false" customHeight="false" outlineLevel="0" collapsed="false">
      <c r="A411" s="24" t="s">
        <v>200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5"/>
      <c r="O411" s="25"/>
      <c r="P411" s="25"/>
      <c r="Q411" s="25"/>
      <c r="R411" s="25"/>
      <c r="S411" s="25"/>
      <c r="T411" s="28" t="str">
        <f aca="false">IF(N411="","",IF(AND(N411="수정",O411&lt;&gt;""),O411,J411))</f>
        <v/>
      </c>
      <c r="U411" s="28" t="str">
        <f aca="false">IF(N411="","",IF(AND(N411="수정",P411&lt;&gt;""),P411,K411))</f>
        <v/>
      </c>
      <c r="V411" s="28" t="str">
        <f aca="false">IF(N411="","",IF(N411="수정",IF(Q411&lt;&gt;"",Q411,IF(OR(U411="명시 없음",U411="유보",U411="절 아님"),"",L411)),L411))</f>
        <v/>
      </c>
    </row>
    <row r="412" customFormat="false" ht="15" hidden="false" customHeight="false" outlineLevel="0" collapsed="false">
      <c r="A412" s="24" t="s">
        <v>200</v>
      </c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5"/>
      <c r="O412" s="25"/>
      <c r="P412" s="25"/>
      <c r="Q412" s="25"/>
      <c r="R412" s="25"/>
      <c r="S412" s="25"/>
      <c r="T412" s="28" t="str">
        <f aca="false">IF(N412="","",IF(AND(N412="수정",O412&lt;&gt;""),O412,J412))</f>
        <v/>
      </c>
      <c r="U412" s="28" t="str">
        <f aca="false">IF(N412="","",IF(AND(N412="수정",P412&lt;&gt;""),P412,K412))</f>
        <v/>
      </c>
      <c r="V412" s="28" t="str">
        <f aca="false">IF(N412="","",IF(N412="수정",IF(Q412&lt;&gt;"",Q412,IF(OR(U412="명시 없음",U412="유보",U412="절 아님"),"",L412)),L412))</f>
        <v/>
      </c>
    </row>
    <row r="413" customFormat="false" ht="15" hidden="false" customHeight="false" outlineLevel="0" collapsed="false">
      <c r="A413" s="24" t="s">
        <v>200</v>
      </c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5"/>
      <c r="O413" s="25"/>
      <c r="P413" s="25"/>
      <c r="Q413" s="25"/>
      <c r="R413" s="25"/>
      <c r="S413" s="25"/>
      <c r="T413" s="28" t="str">
        <f aca="false">IF(N413="","",IF(AND(N413="수정",O413&lt;&gt;""),O413,J413))</f>
        <v/>
      </c>
      <c r="U413" s="28" t="str">
        <f aca="false">IF(N413="","",IF(AND(N413="수정",P413&lt;&gt;""),P413,K413))</f>
        <v/>
      </c>
      <c r="V413" s="28" t="str">
        <f aca="false">IF(N413="","",IF(N413="수정",IF(Q413&lt;&gt;"",Q413,IF(OR(U413="명시 없음",U413="유보",U413="절 아님"),"",L413)),L413))</f>
        <v/>
      </c>
    </row>
    <row r="414" customFormat="false" ht="15" hidden="false" customHeight="false" outlineLevel="0" collapsed="false">
      <c r="A414" s="24" t="s">
        <v>200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5"/>
      <c r="O414" s="25"/>
      <c r="P414" s="25"/>
      <c r="Q414" s="25"/>
      <c r="R414" s="25"/>
      <c r="S414" s="25"/>
      <c r="T414" s="28" t="str">
        <f aca="false">IF(N414="","",IF(AND(N414="수정",O414&lt;&gt;""),O414,J414))</f>
        <v/>
      </c>
      <c r="U414" s="28" t="str">
        <f aca="false">IF(N414="","",IF(AND(N414="수정",P414&lt;&gt;""),P414,K414))</f>
        <v/>
      </c>
      <c r="V414" s="28" t="str">
        <f aca="false">IF(N414="","",IF(N414="수정",IF(Q414&lt;&gt;"",Q414,IF(OR(U414="명시 없음",U414="유보",U414="절 아님"),"",L414)),L414))</f>
        <v/>
      </c>
    </row>
    <row r="415" customFormat="false" ht="15" hidden="false" customHeight="false" outlineLevel="0" collapsed="false">
      <c r="A415" s="24" t="s">
        <v>200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5"/>
      <c r="O415" s="25"/>
      <c r="P415" s="25"/>
      <c r="Q415" s="25"/>
      <c r="R415" s="25"/>
      <c r="S415" s="25"/>
      <c r="T415" s="28" t="str">
        <f aca="false">IF(N415="","",IF(AND(N415="수정",O415&lt;&gt;""),O415,J415))</f>
        <v/>
      </c>
      <c r="U415" s="28" t="str">
        <f aca="false">IF(N415="","",IF(AND(N415="수정",P415&lt;&gt;""),P415,K415))</f>
        <v/>
      </c>
      <c r="V415" s="28" t="str">
        <f aca="false">IF(N415="","",IF(N415="수정",IF(Q415&lt;&gt;"",Q415,IF(OR(U415="명시 없음",U415="유보",U415="절 아님"),"",L415)),L415))</f>
        <v/>
      </c>
    </row>
    <row r="416" customFormat="false" ht="15" hidden="false" customHeight="false" outlineLevel="0" collapsed="false">
      <c r="A416" s="24" t="s">
        <v>200</v>
      </c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5"/>
      <c r="O416" s="25"/>
      <c r="P416" s="25"/>
      <c r="Q416" s="25"/>
      <c r="R416" s="25"/>
      <c r="S416" s="25"/>
      <c r="T416" s="28" t="str">
        <f aca="false">IF(N416="","",IF(AND(N416="수정",O416&lt;&gt;""),O416,J416))</f>
        <v/>
      </c>
      <c r="U416" s="28" t="str">
        <f aca="false">IF(N416="","",IF(AND(N416="수정",P416&lt;&gt;""),P416,K416))</f>
        <v/>
      </c>
      <c r="V416" s="28" t="str">
        <f aca="false">IF(N416="","",IF(N416="수정",IF(Q416&lt;&gt;"",Q416,IF(OR(U416="명시 없음",U416="유보",U416="절 아님"),"",L416)),L416))</f>
        <v/>
      </c>
    </row>
    <row r="417" customFormat="false" ht="15" hidden="false" customHeight="false" outlineLevel="0" collapsed="false">
      <c r="A417" s="24" t="s">
        <v>200</v>
      </c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5"/>
      <c r="O417" s="25"/>
      <c r="P417" s="25"/>
      <c r="Q417" s="25"/>
      <c r="R417" s="25"/>
      <c r="S417" s="25"/>
      <c r="T417" s="28" t="str">
        <f aca="false">IF(N417="","",IF(AND(N417="수정",O417&lt;&gt;""),O417,J417))</f>
        <v/>
      </c>
      <c r="U417" s="28" t="str">
        <f aca="false">IF(N417="","",IF(AND(N417="수정",P417&lt;&gt;""),P417,K417))</f>
        <v/>
      </c>
      <c r="V417" s="28" t="str">
        <f aca="false">IF(N417="","",IF(N417="수정",IF(Q417&lt;&gt;"",Q417,IF(OR(U417="명시 없음",U417="유보",U417="절 아님"),"",L417)),L417))</f>
        <v/>
      </c>
    </row>
    <row r="418" customFormat="false" ht="15" hidden="false" customHeight="false" outlineLevel="0" collapsed="false">
      <c r="A418" s="24" t="s">
        <v>200</v>
      </c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5"/>
      <c r="O418" s="25"/>
      <c r="P418" s="25"/>
      <c r="Q418" s="25"/>
      <c r="R418" s="25"/>
      <c r="S418" s="25"/>
      <c r="T418" s="28" t="str">
        <f aca="false">IF(N418="","",IF(AND(N418="수정",O418&lt;&gt;""),O418,J418))</f>
        <v/>
      </c>
      <c r="U418" s="28" t="str">
        <f aca="false">IF(N418="","",IF(AND(N418="수정",P418&lt;&gt;""),P418,K418))</f>
        <v/>
      </c>
      <c r="V418" s="28" t="str">
        <f aca="false">IF(N418="","",IF(N418="수정",IF(Q418&lt;&gt;"",Q418,IF(OR(U418="명시 없음",U418="유보",U418="절 아님"),"",L418)),L418))</f>
        <v/>
      </c>
    </row>
    <row r="419" customFormat="false" ht="15" hidden="false" customHeight="false" outlineLevel="0" collapsed="false">
      <c r="A419" s="24" t="s">
        <v>200</v>
      </c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5"/>
      <c r="O419" s="25"/>
      <c r="P419" s="25"/>
      <c r="Q419" s="25"/>
      <c r="R419" s="25"/>
      <c r="S419" s="25"/>
      <c r="T419" s="28" t="str">
        <f aca="false">IF(N419="","",IF(AND(N419="수정",O419&lt;&gt;""),O419,J419))</f>
        <v/>
      </c>
      <c r="U419" s="28" t="str">
        <f aca="false">IF(N419="","",IF(AND(N419="수정",P419&lt;&gt;""),P419,K419))</f>
        <v/>
      </c>
      <c r="V419" s="28" t="str">
        <f aca="false">IF(N419="","",IF(N419="수정",IF(Q419&lt;&gt;"",Q419,IF(OR(U419="명시 없음",U419="유보",U419="절 아님"),"",L419)),L419))</f>
        <v/>
      </c>
    </row>
    <row r="420" customFormat="false" ht="15" hidden="false" customHeight="false" outlineLevel="0" collapsed="false">
      <c r="A420" s="24" t="s">
        <v>200</v>
      </c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5"/>
      <c r="O420" s="25"/>
      <c r="P420" s="25"/>
      <c r="Q420" s="25"/>
      <c r="R420" s="25"/>
      <c r="S420" s="25"/>
      <c r="T420" s="28" t="str">
        <f aca="false">IF(N420="","",IF(AND(N420="수정",O420&lt;&gt;""),O420,J420))</f>
        <v/>
      </c>
      <c r="U420" s="28" t="str">
        <f aca="false">IF(N420="","",IF(AND(N420="수정",P420&lt;&gt;""),P420,K420))</f>
        <v/>
      </c>
      <c r="V420" s="28" t="str">
        <f aca="false">IF(N420="","",IF(N420="수정",IF(Q420&lt;&gt;"",Q420,IF(OR(U420="명시 없음",U420="유보",U420="절 아님"),"",L420)),L420))</f>
        <v/>
      </c>
    </row>
    <row r="421" customFormat="false" ht="15" hidden="false" customHeight="false" outlineLevel="0" collapsed="false">
      <c r="A421" s="24" t="s">
        <v>200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5"/>
      <c r="O421" s="25"/>
      <c r="P421" s="25"/>
      <c r="Q421" s="25"/>
      <c r="R421" s="25"/>
      <c r="S421" s="25"/>
      <c r="T421" s="28" t="str">
        <f aca="false">IF(N421="","",IF(AND(N421="수정",O421&lt;&gt;""),O421,J421))</f>
        <v/>
      </c>
      <c r="U421" s="28" t="str">
        <f aca="false">IF(N421="","",IF(AND(N421="수정",P421&lt;&gt;""),P421,K421))</f>
        <v/>
      </c>
      <c r="V421" s="28" t="str">
        <f aca="false">IF(N421="","",IF(N421="수정",IF(Q421&lt;&gt;"",Q421,IF(OR(U421="명시 없음",U421="유보",U421="절 아님"),"",L421)),L421))</f>
        <v/>
      </c>
    </row>
    <row r="422" customFormat="false" ht="15" hidden="false" customHeight="false" outlineLevel="0" collapsed="false">
      <c r="A422" s="24" t="s">
        <v>200</v>
      </c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5"/>
      <c r="O422" s="25"/>
      <c r="P422" s="25"/>
      <c r="Q422" s="25"/>
      <c r="R422" s="25"/>
      <c r="S422" s="25"/>
      <c r="T422" s="28" t="str">
        <f aca="false">IF(N422="","",IF(AND(N422="수정",O422&lt;&gt;""),O422,J422))</f>
        <v/>
      </c>
      <c r="U422" s="28" t="str">
        <f aca="false">IF(N422="","",IF(AND(N422="수정",P422&lt;&gt;""),P422,K422))</f>
        <v/>
      </c>
      <c r="V422" s="28" t="str">
        <f aca="false">IF(N422="","",IF(N422="수정",IF(Q422&lt;&gt;"",Q422,IF(OR(U422="명시 없음",U422="유보",U422="절 아님"),"",L422)),L422))</f>
        <v/>
      </c>
    </row>
    <row r="423" customFormat="false" ht="15" hidden="false" customHeight="false" outlineLevel="0" collapsed="false">
      <c r="A423" s="24" t="s">
        <v>200</v>
      </c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5"/>
      <c r="O423" s="25"/>
      <c r="P423" s="25"/>
      <c r="Q423" s="25"/>
      <c r="R423" s="25"/>
      <c r="S423" s="25"/>
      <c r="T423" s="28" t="str">
        <f aca="false">IF(N423="","",IF(AND(N423="수정",O423&lt;&gt;""),O423,J423))</f>
        <v/>
      </c>
      <c r="U423" s="28" t="str">
        <f aca="false">IF(N423="","",IF(AND(N423="수정",P423&lt;&gt;""),P423,K423))</f>
        <v/>
      </c>
      <c r="V423" s="28" t="str">
        <f aca="false">IF(N423="","",IF(N423="수정",IF(Q423&lt;&gt;"",Q423,IF(OR(U423="명시 없음",U423="유보",U423="절 아님"),"",L423)),L423))</f>
        <v/>
      </c>
    </row>
    <row r="424" customFormat="false" ht="15" hidden="false" customHeight="false" outlineLevel="0" collapsed="false">
      <c r="A424" s="24" t="s">
        <v>200</v>
      </c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5"/>
      <c r="O424" s="25"/>
      <c r="P424" s="25"/>
      <c r="Q424" s="25"/>
      <c r="R424" s="25"/>
      <c r="S424" s="25"/>
      <c r="T424" s="28" t="str">
        <f aca="false">IF(N424="","",IF(AND(N424="수정",O424&lt;&gt;""),O424,J424))</f>
        <v/>
      </c>
      <c r="U424" s="28" t="str">
        <f aca="false">IF(N424="","",IF(AND(N424="수정",P424&lt;&gt;""),P424,K424))</f>
        <v/>
      </c>
      <c r="V424" s="28" t="str">
        <f aca="false">IF(N424="","",IF(N424="수정",IF(Q424&lt;&gt;"",Q424,IF(OR(U424="명시 없음",U424="유보",U424="절 아님"),"",L424)),L424))</f>
        <v/>
      </c>
    </row>
    <row r="425" customFormat="false" ht="15" hidden="false" customHeight="false" outlineLevel="0" collapsed="false">
      <c r="A425" s="24" t="s">
        <v>200</v>
      </c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5"/>
      <c r="O425" s="25"/>
      <c r="P425" s="25"/>
      <c r="Q425" s="25"/>
      <c r="R425" s="25"/>
      <c r="S425" s="25"/>
      <c r="T425" s="28" t="str">
        <f aca="false">IF(N425="","",IF(AND(N425="수정",O425&lt;&gt;""),O425,J425))</f>
        <v/>
      </c>
      <c r="U425" s="28" t="str">
        <f aca="false">IF(N425="","",IF(AND(N425="수정",P425&lt;&gt;""),P425,K425))</f>
        <v/>
      </c>
      <c r="V425" s="28" t="str">
        <f aca="false">IF(N425="","",IF(N425="수정",IF(Q425&lt;&gt;"",Q425,IF(OR(U425="명시 없음",U425="유보",U425="절 아님"),"",L425)),L425))</f>
        <v/>
      </c>
    </row>
    <row r="426" customFormat="false" ht="15" hidden="false" customHeight="false" outlineLevel="0" collapsed="false">
      <c r="A426" s="24" t="s">
        <v>200</v>
      </c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5"/>
      <c r="O426" s="25"/>
      <c r="P426" s="25"/>
      <c r="Q426" s="25"/>
      <c r="R426" s="25"/>
      <c r="S426" s="25"/>
      <c r="T426" s="28" t="str">
        <f aca="false">IF(N426="","",IF(AND(N426="수정",O426&lt;&gt;""),O426,J426))</f>
        <v/>
      </c>
      <c r="U426" s="28" t="str">
        <f aca="false">IF(N426="","",IF(AND(N426="수정",P426&lt;&gt;""),P426,K426))</f>
        <v/>
      </c>
      <c r="V426" s="28" t="str">
        <f aca="false">IF(N426="","",IF(N426="수정",IF(Q426&lt;&gt;"",Q426,IF(OR(U426="명시 없음",U426="유보",U426="절 아님"),"",L426)),L426))</f>
        <v/>
      </c>
    </row>
    <row r="427" customFormat="false" ht="15" hidden="false" customHeight="false" outlineLevel="0" collapsed="false">
      <c r="A427" s="24" t="s">
        <v>200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5"/>
      <c r="O427" s="25"/>
      <c r="P427" s="25"/>
      <c r="Q427" s="25"/>
      <c r="R427" s="25"/>
      <c r="S427" s="25"/>
      <c r="T427" s="28" t="str">
        <f aca="false">IF(N427="","",IF(AND(N427="수정",O427&lt;&gt;""),O427,J427))</f>
        <v/>
      </c>
      <c r="U427" s="28" t="str">
        <f aca="false">IF(N427="","",IF(AND(N427="수정",P427&lt;&gt;""),P427,K427))</f>
        <v/>
      </c>
      <c r="V427" s="28" t="str">
        <f aca="false">IF(N427="","",IF(N427="수정",IF(Q427&lt;&gt;"",Q427,IF(OR(U427="명시 없음",U427="유보",U427="절 아님"),"",L427)),L427))</f>
        <v/>
      </c>
    </row>
    <row r="428" customFormat="false" ht="15" hidden="false" customHeight="false" outlineLevel="0" collapsed="false">
      <c r="A428" s="24" t="s">
        <v>200</v>
      </c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5"/>
      <c r="O428" s="25"/>
      <c r="P428" s="25"/>
      <c r="Q428" s="25"/>
      <c r="R428" s="25"/>
      <c r="S428" s="25"/>
      <c r="T428" s="28" t="str">
        <f aca="false">IF(N428="","",IF(AND(N428="수정",O428&lt;&gt;""),O428,J428))</f>
        <v/>
      </c>
      <c r="U428" s="28" t="str">
        <f aca="false">IF(N428="","",IF(AND(N428="수정",P428&lt;&gt;""),P428,K428))</f>
        <v/>
      </c>
      <c r="V428" s="28" t="str">
        <f aca="false">IF(N428="","",IF(N428="수정",IF(Q428&lt;&gt;"",Q428,IF(OR(U428="명시 없음",U428="유보",U428="절 아님"),"",L428)),L428))</f>
        <v/>
      </c>
    </row>
    <row r="429" customFormat="false" ht="15" hidden="false" customHeight="false" outlineLevel="0" collapsed="false">
      <c r="A429" s="24" t="s">
        <v>200</v>
      </c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5"/>
      <c r="O429" s="25"/>
      <c r="P429" s="25"/>
      <c r="Q429" s="25"/>
      <c r="R429" s="25"/>
      <c r="S429" s="25"/>
      <c r="T429" s="28" t="str">
        <f aca="false">IF(N429="","",IF(AND(N429="수정",O429&lt;&gt;""),O429,J429))</f>
        <v/>
      </c>
      <c r="U429" s="28" t="str">
        <f aca="false">IF(N429="","",IF(AND(N429="수정",P429&lt;&gt;""),P429,K429))</f>
        <v/>
      </c>
      <c r="V429" s="28" t="str">
        <f aca="false">IF(N429="","",IF(N429="수정",IF(Q429&lt;&gt;"",Q429,IF(OR(U429="명시 없음",U429="유보",U429="절 아님"),"",L429)),L429))</f>
        <v/>
      </c>
    </row>
    <row r="430" customFormat="false" ht="15" hidden="false" customHeight="false" outlineLevel="0" collapsed="false">
      <c r="A430" s="24" t="s">
        <v>200</v>
      </c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5"/>
      <c r="O430" s="25"/>
      <c r="P430" s="25"/>
      <c r="Q430" s="25"/>
      <c r="R430" s="25"/>
      <c r="S430" s="25"/>
      <c r="T430" s="28" t="str">
        <f aca="false">IF(N430="","",IF(AND(N430="수정",O430&lt;&gt;""),O430,J430))</f>
        <v/>
      </c>
      <c r="U430" s="28" t="str">
        <f aca="false">IF(N430="","",IF(AND(N430="수정",P430&lt;&gt;""),P430,K430))</f>
        <v/>
      </c>
      <c r="V430" s="28" t="str">
        <f aca="false">IF(N430="","",IF(N430="수정",IF(Q430&lt;&gt;"",Q430,IF(OR(U430="명시 없음",U430="유보",U430="절 아님"),"",L430)),L430))</f>
        <v/>
      </c>
    </row>
    <row r="431" customFormat="false" ht="15" hidden="false" customHeight="false" outlineLevel="0" collapsed="false">
      <c r="A431" s="24" t="s">
        <v>200</v>
      </c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5"/>
      <c r="O431" s="25"/>
      <c r="P431" s="25"/>
      <c r="Q431" s="25"/>
      <c r="R431" s="25"/>
      <c r="S431" s="25"/>
      <c r="T431" s="28" t="str">
        <f aca="false">IF(N431="","",IF(AND(N431="수정",O431&lt;&gt;""),O431,J431))</f>
        <v/>
      </c>
      <c r="U431" s="28" t="str">
        <f aca="false">IF(N431="","",IF(AND(N431="수정",P431&lt;&gt;""),P431,K431))</f>
        <v/>
      </c>
      <c r="V431" s="28" t="str">
        <f aca="false">IF(N431="","",IF(N431="수정",IF(Q431&lt;&gt;"",Q431,IF(OR(U431="명시 없음",U431="유보",U431="절 아님"),"",L431)),L431))</f>
        <v/>
      </c>
    </row>
    <row r="432" customFormat="false" ht="15" hidden="false" customHeight="false" outlineLevel="0" collapsed="false">
      <c r="A432" s="24" t="s">
        <v>200</v>
      </c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5"/>
      <c r="O432" s="25"/>
      <c r="P432" s="25"/>
      <c r="Q432" s="25"/>
      <c r="R432" s="25"/>
      <c r="S432" s="25"/>
      <c r="T432" s="28" t="str">
        <f aca="false">IF(N432="","",IF(AND(N432="수정",O432&lt;&gt;""),O432,J432))</f>
        <v/>
      </c>
      <c r="U432" s="28" t="str">
        <f aca="false">IF(N432="","",IF(AND(N432="수정",P432&lt;&gt;""),P432,K432))</f>
        <v/>
      </c>
      <c r="V432" s="28" t="str">
        <f aca="false">IF(N432="","",IF(N432="수정",IF(Q432&lt;&gt;"",Q432,IF(OR(U432="명시 없음",U432="유보",U432="절 아님"),"",L432)),L432))</f>
        <v/>
      </c>
    </row>
    <row r="433" customFormat="false" ht="15" hidden="false" customHeight="false" outlineLevel="0" collapsed="false">
      <c r="A433" s="24" t="s">
        <v>200</v>
      </c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5"/>
      <c r="O433" s="25"/>
      <c r="P433" s="25"/>
      <c r="Q433" s="25"/>
      <c r="R433" s="25"/>
      <c r="S433" s="25"/>
      <c r="T433" s="28" t="str">
        <f aca="false">IF(N433="","",IF(AND(N433="수정",O433&lt;&gt;""),O433,J433))</f>
        <v/>
      </c>
      <c r="U433" s="28" t="str">
        <f aca="false">IF(N433="","",IF(AND(N433="수정",P433&lt;&gt;""),P433,K433))</f>
        <v/>
      </c>
      <c r="V433" s="28" t="str">
        <f aca="false">IF(N433="","",IF(N433="수정",IF(Q433&lt;&gt;"",Q433,IF(OR(U433="명시 없음",U433="유보",U433="절 아님"),"",L433)),L433))</f>
        <v/>
      </c>
    </row>
    <row r="434" customFormat="false" ht="15" hidden="false" customHeight="false" outlineLevel="0" collapsed="false">
      <c r="A434" s="24" t="s">
        <v>200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5"/>
      <c r="O434" s="25"/>
      <c r="P434" s="25"/>
      <c r="Q434" s="25"/>
      <c r="R434" s="25"/>
      <c r="S434" s="25"/>
      <c r="T434" s="28" t="str">
        <f aca="false">IF(N434="","",IF(AND(N434="수정",O434&lt;&gt;""),O434,J434))</f>
        <v/>
      </c>
      <c r="U434" s="28" t="str">
        <f aca="false">IF(N434="","",IF(AND(N434="수정",P434&lt;&gt;""),P434,K434))</f>
        <v/>
      </c>
      <c r="V434" s="28" t="str">
        <f aca="false">IF(N434="","",IF(N434="수정",IF(Q434&lt;&gt;"",Q434,IF(OR(U434="명시 없음",U434="유보",U434="절 아님"),"",L434)),L434))</f>
        <v/>
      </c>
    </row>
    <row r="435" customFormat="false" ht="15" hidden="false" customHeight="false" outlineLevel="0" collapsed="false">
      <c r="A435" s="24" t="s">
        <v>200</v>
      </c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5"/>
      <c r="O435" s="25"/>
      <c r="P435" s="25"/>
      <c r="Q435" s="25"/>
      <c r="R435" s="25"/>
      <c r="S435" s="25"/>
      <c r="T435" s="28" t="str">
        <f aca="false">IF(N435="","",IF(AND(N435="수정",O435&lt;&gt;""),O435,J435))</f>
        <v/>
      </c>
      <c r="U435" s="28" t="str">
        <f aca="false">IF(N435="","",IF(AND(N435="수정",P435&lt;&gt;""),P435,K435))</f>
        <v/>
      </c>
      <c r="V435" s="28" t="str">
        <f aca="false">IF(N435="","",IF(N435="수정",IF(Q435&lt;&gt;"",Q435,IF(OR(U435="명시 없음",U435="유보",U435="절 아님"),"",L435)),L435))</f>
        <v/>
      </c>
    </row>
    <row r="436" customFormat="false" ht="15" hidden="false" customHeight="false" outlineLevel="0" collapsed="false">
      <c r="A436" s="24" t="s">
        <v>200</v>
      </c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5"/>
      <c r="O436" s="25"/>
      <c r="P436" s="25"/>
      <c r="Q436" s="25"/>
      <c r="R436" s="25"/>
      <c r="S436" s="25"/>
      <c r="T436" s="28" t="str">
        <f aca="false">IF(N436="","",IF(AND(N436="수정",O436&lt;&gt;""),O436,J436))</f>
        <v/>
      </c>
      <c r="U436" s="28" t="str">
        <f aca="false">IF(N436="","",IF(AND(N436="수정",P436&lt;&gt;""),P436,K436))</f>
        <v/>
      </c>
      <c r="V436" s="28" t="str">
        <f aca="false">IF(N436="","",IF(N436="수정",IF(Q436&lt;&gt;"",Q436,IF(OR(U436="명시 없음",U436="유보",U436="절 아님"),"",L436)),L436))</f>
        <v/>
      </c>
    </row>
    <row r="437" customFormat="false" ht="15" hidden="false" customHeight="false" outlineLevel="0" collapsed="false">
      <c r="A437" s="24" t="s">
        <v>200</v>
      </c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5"/>
      <c r="O437" s="25"/>
      <c r="P437" s="25"/>
      <c r="Q437" s="25"/>
      <c r="R437" s="25"/>
      <c r="S437" s="25"/>
      <c r="T437" s="28" t="str">
        <f aca="false">IF(N437="","",IF(AND(N437="수정",O437&lt;&gt;""),O437,J437))</f>
        <v/>
      </c>
      <c r="U437" s="28" t="str">
        <f aca="false">IF(N437="","",IF(AND(N437="수정",P437&lt;&gt;""),P437,K437))</f>
        <v/>
      </c>
      <c r="V437" s="28" t="str">
        <f aca="false">IF(N437="","",IF(N437="수정",IF(Q437&lt;&gt;"",Q437,IF(OR(U437="명시 없음",U437="유보",U437="절 아님"),"",L437)),L437))</f>
        <v/>
      </c>
    </row>
    <row r="438" customFormat="false" ht="15" hidden="false" customHeight="false" outlineLevel="0" collapsed="false">
      <c r="A438" s="24" t="s">
        <v>200</v>
      </c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5"/>
      <c r="O438" s="25"/>
      <c r="P438" s="25"/>
      <c r="Q438" s="25"/>
      <c r="R438" s="25"/>
      <c r="S438" s="25"/>
      <c r="T438" s="28" t="str">
        <f aca="false">IF(N438="","",IF(AND(N438="수정",O438&lt;&gt;""),O438,J438))</f>
        <v/>
      </c>
      <c r="U438" s="28" t="str">
        <f aca="false">IF(N438="","",IF(AND(N438="수정",P438&lt;&gt;""),P438,K438))</f>
        <v/>
      </c>
      <c r="V438" s="28" t="str">
        <f aca="false">IF(N438="","",IF(N438="수정",IF(Q438&lt;&gt;"",Q438,IF(OR(U438="명시 없음",U438="유보",U438="절 아님"),"",L438)),L438))</f>
        <v/>
      </c>
    </row>
    <row r="439" customFormat="false" ht="15" hidden="false" customHeight="false" outlineLevel="0" collapsed="false">
      <c r="A439" s="24" t="s">
        <v>200</v>
      </c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5"/>
      <c r="O439" s="25"/>
      <c r="P439" s="25"/>
      <c r="Q439" s="25"/>
      <c r="R439" s="25"/>
      <c r="S439" s="25"/>
      <c r="T439" s="28" t="str">
        <f aca="false">IF(N439="","",IF(AND(N439="수정",O439&lt;&gt;""),O439,J439))</f>
        <v/>
      </c>
      <c r="U439" s="28" t="str">
        <f aca="false">IF(N439="","",IF(AND(N439="수정",P439&lt;&gt;""),P439,K439))</f>
        <v/>
      </c>
      <c r="V439" s="28" t="str">
        <f aca="false">IF(N439="","",IF(N439="수정",IF(Q439&lt;&gt;"",Q439,IF(OR(U439="명시 없음",U439="유보",U439="절 아님"),"",L439)),L439))</f>
        <v/>
      </c>
    </row>
    <row r="440" customFormat="false" ht="15" hidden="false" customHeight="false" outlineLevel="0" collapsed="false">
      <c r="A440" s="24" t="s">
        <v>200</v>
      </c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5"/>
      <c r="O440" s="25"/>
      <c r="P440" s="25"/>
      <c r="Q440" s="25"/>
      <c r="R440" s="25"/>
      <c r="S440" s="25"/>
      <c r="T440" s="28" t="str">
        <f aca="false">IF(N440="","",IF(AND(N440="수정",O440&lt;&gt;""),O440,J440))</f>
        <v/>
      </c>
      <c r="U440" s="28" t="str">
        <f aca="false">IF(N440="","",IF(AND(N440="수정",P440&lt;&gt;""),P440,K440))</f>
        <v/>
      </c>
      <c r="V440" s="28" t="str">
        <f aca="false">IF(N440="","",IF(N440="수정",IF(Q440&lt;&gt;"",Q440,IF(OR(U440="명시 없음",U440="유보",U440="절 아님"),"",L440)),L440))</f>
        <v/>
      </c>
    </row>
    <row r="441" customFormat="false" ht="15" hidden="false" customHeight="false" outlineLevel="0" collapsed="false">
      <c r="A441" s="24" t="s">
        <v>200</v>
      </c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5"/>
      <c r="O441" s="25"/>
      <c r="P441" s="25"/>
      <c r="Q441" s="25"/>
      <c r="R441" s="25"/>
      <c r="S441" s="25"/>
      <c r="T441" s="28" t="str">
        <f aca="false">IF(N441="","",IF(AND(N441="수정",O441&lt;&gt;""),O441,J441))</f>
        <v/>
      </c>
      <c r="U441" s="28" t="str">
        <f aca="false">IF(N441="","",IF(AND(N441="수정",P441&lt;&gt;""),P441,K441))</f>
        <v/>
      </c>
      <c r="V441" s="28" t="str">
        <f aca="false">IF(N441="","",IF(N441="수정",IF(Q441&lt;&gt;"",Q441,IF(OR(U441="명시 없음",U441="유보",U441="절 아님"),"",L441)),L441))</f>
        <v/>
      </c>
    </row>
    <row r="442" customFormat="false" ht="15" hidden="false" customHeight="false" outlineLevel="0" collapsed="false">
      <c r="A442" s="24" t="s">
        <v>200</v>
      </c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5"/>
      <c r="O442" s="25"/>
      <c r="P442" s="25"/>
      <c r="Q442" s="25"/>
      <c r="R442" s="25"/>
      <c r="S442" s="25"/>
      <c r="T442" s="28" t="str">
        <f aca="false">IF(N442="","",IF(AND(N442="수정",O442&lt;&gt;""),O442,J442))</f>
        <v/>
      </c>
      <c r="U442" s="28" t="str">
        <f aca="false">IF(N442="","",IF(AND(N442="수정",P442&lt;&gt;""),P442,K442))</f>
        <v/>
      </c>
      <c r="V442" s="28" t="str">
        <f aca="false">IF(N442="","",IF(N442="수정",IF(Q442&lt;&gt;"",Q442,IF(OR(U442="명시 없음",U442="유보",U442="절 아님"),"",L442)),L442))</f>
        <v/>
      </c>
    </row>
    <row r="443" customFormat="false" ht="15" hidden="false" customHeight="false" outlineLevel="0" collapsed="false">
      <c r="A443" s="24" t="s">
        <v>200</v>
      </c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5"/>
      <c r="O443" s="25"/>
      <c r="P443" s="25"/>
      <c r="Q443" s="25"/>
      <c r="R443" s="25"/>
      <c r="S443" s="25"/>
      <c r="T443" s="28" t="str">
        <f aca="false">IF(N443="","",IF(AND(N443="수정",O443&lt;&gt;""),O443,J443))</f>
        <v/>
      </c>
      <c r="U443" s="28" t="str">
        <f aca="false">IF(N443="","",IF(AND(N443="수정",P443&lt;&gt;""),P443,K443))</f>
        <v/>
      </c>
      <c r="V443" s="28" t="str">
        <f aca="false">IF(N443="","",IF(N443="수정",IF(Q443&lt;&gt;"",Q443,IF(OR(U443="명시 없음",U443="유보",U443="절 아님"),"",L443)),L443))</f>
        <v/>
      </c>
    </row>
    <row r="444" customFormat="false" ht="15" hidden="false" customHeight="false" outlineLevel="0" collapsed="false">
      <c r="A444" s="24" t="s">
        <v>200</v>
      </c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5"/>
      <c r="O444" s="25"/>
      <c r="P444" s="25"/>
      <c r="Q444" s="25"/>
      <c r="R444" s="25"/>
      <c r="S444" s="25"/>
      <c r="T444" s="28" t="str">
        <f aca="false">IF(N444="","",IF(AND(N444="수정",O444&lt;&gt;""),O444,J444))</f>
        <v/>
      </c>
      <c r="U444" s="28" t="str">
        <f aca="false">IF(N444="","",IF(AND(N444="수정",P444&lt;&gt;""),P444,K444))</f>
        <v/>
      </c>
      <c r="V444" s="28" t="str">
        <f aca="false">IF(N444="","",IF(N444="수정",IF(Q444&lt;&gt;"",Q444,IF(OR(U444="명시 없음",U444="유보",U444="절 아님"),"",L444)),L444))</f>
        <v/>
      </c>
    </row>
    <row r="445" customFormat="false" ht="15" hidden="false" customHeight="false" outlineLevel="0" collapsed="false">
      <c r="A445" s="24" t="s">
        <v>200</v>
      </c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5"/>
      <c r="O445" s="25"/>
      <c r="P445" s="25"/>
      <c r="Q445" s="25"/>
      <c r="R445" s="25"/>
      <c r="S445" s="25"/>
      <c r="T445" s="28" t="str">
        <f aca="false">IF(N445="","",IF(AND(N445="수정",O445&lt;&gt;""),O445,J445))</f>
        <v/>
      </c>
      <c r="U445" s="28" t="str">
        <f aca="false">IF(N445="","",IF(AND(N445="수정",P445&lt;&gt;""),P445,K445))</f>
        <v/>
      </c>
      <c r="V445" s="28" t="str">
        <f aca="false">IF(N445="","",IF(N445="수정",IF(Q445&lt;&gt;"",Q445,IF(OR(U445="명시 없음",U445="유보",U445="절 아님"),"",L445)),L445))</f>
        <v/>
      </c>
    </row>
    <row r="446" customFormat="false" ht="15" hidden="false" customHeight="false" outlineLevel="0" collapsed="false">
      <c r="A446" s="24" t="s">
        <v>200</v>
      </c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5"/>
      <c r="O446" s="25"/>
      <c r="P446" s="25"/>
      <c r="Q446" s="25"/>
      <c r="R446" s="25"/>
      <c r="S446" s="25"/>
      <c r="T446" s="28" t="str">
        <f aca="false">IF(N446="","",IF(AND(N446="수정",O446&lt;&gt;""),O446,J446))</f>
        <v/>
      </c>
      <c r="U446" s="28" t="str">
        <f aca="false">IF(N446="","",IF(AND(N446="수정",P446&lt;&gt;""),P446,K446))</f>
        <v/>
      </c>
      <c r="V446" s="28" t="str">
        <f aca="false">IF(N446="","",IF(N446="수정",IF(Q446&lt;&gt;"",Q446,IF(OR(U446="명시 없음",U446="유보",U446="절 아님"),"",L446)),L446))</f>
        <v/>
      </c>
    </row>
    <row r="447" customFormat="false" ht="15" hidden="false" customHeight="false" outlineLevel="0" collapsed="false">
      <c r="A447" s="24" t="s">
        <v>200</v>
      </c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5"/>
      <c r="O447" s="25"/>
      <c r="P447" s="25"/>
      <c r="Q447" s="25"/>
      <c r="R447" s="25"/>
      <c r="S447" s="25"/>
      <c r="T447" s="28" t="str">
        <f aca="false">IF(N447="","",IF(AND(N447="수정",O447&lt;&gt;""),O447,J447))</f>
        <v/>
      </c>
      <c r="U447" s="28" t="str">
        <f aca="false">IF(N447="","",IF(AND(N447="수정",P447&lt;&gt;""),P447,K447))</f>
        <v/>
      </c>
      <c r="V447" s="28" t="str">
        <f aca="false">IF(N447="","",IF(N447="수정",IF(Q447&lt;&gt;"",Q447,IF(OR(U447="명시 없음",U447="유보",U447="절 아님"),"",L447)),L447))</f>
        <v/>
      </c>
    </row>
    <row r="448" customFormat="false" ht="15" hidden="false" customHeight="false" outlineLevel="0" collapsed="false">
      <c r="A448" s="24" t="s">
        <v>200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5"/>
      <c r="O448" s="25"/>
      <c r="P448" s="25"/>
      <c r="Q448" s="25"/>
      <c r="R448" s="25"/>
      <c r="S448" s="25"/>
      <c r="T448" s="28" t="str">
        <f aca="false">IF(N448="","",IF(AND(N448="수정",O448&lt;&gt;""),O448,J448))</f>
        <v/>
      </c>
      <c r="U448" s="28" t="str">
        <f aca="false">IF(N448="","",IF(AND(N448="수정",P448&lt;&gt;""),P448,K448))</f>
        <v/>
      </c>
      <c r="V448" s="28" t="str">
        <f aca="false">IF(N448="","",IF(N448="수정",IF(Q448&lt;&gt;"",Q448,IF(OR(U448="명시 없음",U448="유보",U448="절 아님"),"",L448)),L448))</f>
        <v/>
      </c>
    </row>
    <row r="449" customFormat="false" ht="15" hidden="false" customHeight="false" outlineLevel="0" collapsed="false">
      <c r="A449" s="24" t="s">
        <v>200</v>
      </c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5"/>
      <c r="O449" s="25"/>
      <c r="P449" s="25"/>
      <c r="Q449" s="25"/>
      <c r="R449" s="25"/>
      <c r="S449" s="25"/>
      <c r="T449" s="28" t="str">
        <f aca="false">IF(N449="","",IF(AND(N449="수정",O449&lt;&gt;""),O449,J449))</f>
        <v/>
      </c>
      <c r="U449" s="28" t="str">
        <f aca="false">IF(N449="","",IF(AND(N449="수정",P449&lt;&gt;""),P449,K449))</f>
        <v/>
      </c>
      <c r="V449" s="28" t="str">
        <f aca="false">IF(N449="","",IF(N449="수정",IF(Q449&lt;&gt;"",Q449,IF(OR(U449="명시 없음",U449="유보",U449="절 아님"),"",L449)),L449))</f>
        <v/>
      </c>
    </row>
    <row r="450" customFormat="false" ht="15" hidden="false" customHeight="false" outlineLevel="0" collapsed="false">
      <c r="A450" s="24" t="s">
        <v>200</v>
      </c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5"/>
      <c r="O450" s="25"/>
      <c r="P450" s="25"/>
      <c r="Q450" s="25"/>
      <c r="R450" s="25"/>
      <c r="S450" s="25"/>
      <c r="T450" s="28" t="str">
        <f aca="false">IF(N450="","",IF(AND(N450="수정",O450&lt;&gt;""),O450,J450))</f>
        <v/>
      </c>
      <c r="U450" s="28" t="str">
        <f aca="false">IF(N450="","",IF(AND(N450="수정",P450&lt;&gt;""),P450,K450))</f>
        <v/>
      </c>
      <c r="V450" s="28" t="str">
        <f aca="false">IF(N450="","",IF(N450="수정",IF(Q450&lt;&gt;"",Q450,IF(OR(U450="명시 없음",U450="유보",U450="절 아님"),"",L450)),L450))</f>
        <v/>
      </c>
    </row>
    <row r="451" customFormat="false" ht="15" hidden="false" customHeight="false" outlineLevel="0" collapsed="false">
      <c r="A451" s="24" t="s">
        <v>200</v>
      </c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5"/>
      <c r="O451" s="25"/>
      <c r="P451" s="25"/>
      <c r="Q451" s="25"/>
      <c r="R451" s="25"/>
      <c r="S451" s="25"/>
      <c r="T451" s="28" t="str">
        <f aca="false">IF(N451="","",IF(AND(N451="수정",O451&lt;&gt;""),O451,J451))</f>
        <v/>
      </c>
      <c r="U451" s="28" t="str">
        <f aca="false">IF(N451="","",IF(AND(N451="수정",P451&lt;&gt;""),P451,K451))</f>
        <v/>
      </c>
      <c r="V451" s="28" t="str">
        <f aca="false">IF(N451="","",IF(N451="수정",IF(Q451&lt;&gt;"",Q451,IF(OR(U451="명시 없음",U451="유보",U451="절 아님"),"",L451)),L451))</f>
        <v/>
      </c>
    </row>
    <row r="452" customFormat="false" ht="15" hidden="false" customHeight="false" outlineLevel="0" collapsed="false">
      <c r="A452" s="24" t="s">
        <v>200</v>
      </c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5"/>
      <c r="O452" s="25"/>
      <c r="P452" s="25"/>
      <c r="Q452" s="25"/>
      <c r="R452" s="25"/>
      <c r="S452" s="25"/>
      <c r="T452" s="28" t="str">
        <f aca="false">IF(N452="","",IF(AND(N452="수정",O452&lt;&gt;""),O452,J452))</f>
        <v/>
      </c>
      <c r="U452" s="28" t="str">
        <f aca="false">IF(N452="","",IF(AND(N452="수정",P452&lt;&gt;""),P452,K452))</f>
        <v/>
      </c>
      <c r="V452" s="28" t="str">
        <f aca="false">IF(N452="","",IF(N452="수정",IF(Q452&lt;&gt;"",Q452,IF(OR(U452="명시 없음",U452="유보",U452="절 아님"),"",L452)),L452))</f>
        <v/>
      </c>
    </row>
    <row r="453" customFormat="false" ht="15" hidden="false" customHeight="false" outlineLevel="0" collapsed="false">
      <c r="A453" s="24" t="s">
        <v>200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5"/>
      <c r="O453" s="25"/>
      <c r="P453" s="25"/>
      <c r="Q453" s="25"/>
      <c r="R453" s="25"/>
      <c r="S453" s="25"/>
      <c r="T453" s="28" t="str">
        <f aca="false">IF(N453="","",IF(AND(N453="수정",O453&lt;&gt;""),O453,J453))</f>
        <v/>
      </c>
      <c r="U453" s="28" t="str">
        <f aca="false">IF(N453="","",IF(AND(N453="수정",P453&lt;&gt;""),P453,K453))</f>
        <v/>
      </c>
      <c r="V453" s="28" t="str">
        <f aca="false">IF(N453="","",IF(N453="수정",IF(Q453&lt;&gt;"",Q453,IF(OR(U453="명시 없음",U453="유보",U453="절 아님"),"",L453)),L453))</f>
        <v/>
      </c>
    </row>
    <row r="454" customFormat="false" ht="15" hidden="false" customHeight="false" outlineLevel="0" collapsed="false">
      <c r="A454" s="24" t="s">
        <v>200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5"/>
      <c r="O454" s="25"/>
      <c r="P454" s="25"/>
      <c r="Q454" s="25"/>
      <c r="R454" s="25"/>
      <c r="S454" s="25"/>
      <c r="T454" s="28" t="str">
        <f aca="false">IF(N454="","",IF(AND(N454="수정",O454&lt;&gt;""),O454,J454))</f>
        <v/>
      </c>
      <c r="U454" s="28" t="str">
        <f aca="false">IF(N454="","",IF(AND(N454="수정",P454&lt;&gt;""),P454,K454))</f>
        <v/>
      </c>
      <c r="V454" s="28" t="str">
        <f aca="false">IF(N454="","",IF(N454="수정",IF(Q454&lt;&gt;"",Q454,IF(OR(U454="명시 없음",U454="유보",U454="절 아님"),"",L454)),L454))</f>
        <v/>
      </c>
    </row>
    <row r="455" customFormat="false" ht="15" hidden="false" customHeight="false" outlineLevel="0" collapsed="false">
      <c r="A455" s="24" t="s">
        <v>200</v>
      </c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5"/>
      <c r="O455" s="25"/>
      <c r="P455" s="25"/>
      <c r="Q455" s="25"/>
      <c r="R455" s="25"/>
      <c r="S455" s="25"/>
      <c r="T455" s="28" t="str">
        <f aca="false">IF(N455="","",IF(AND(N455="수정",O455&lt;&gt;""),O455,J455))</f>
        <v/>
      </c>
      <c r="U455" s="28" t="str">
        <f aca="false">IF(N455="","",IF(AND(N455="수정",P455&lt;&gt;""),P455,K455))</f>
        <v/>
      </c>
      <c r="V455" s="28" t="str">
        <f aca="false">IF(N455="","",IF(N455="수정",IF(Q455&lt;&gt;"",Q455,IF(OR(U455="명시 없음",U455="유보",U455="절 아님"),"",L455)),L455))</f>
        <v/>
      </c>
    </row>
    <row r="456" customFormat="false" ht="15" hidden="false" customHeight="false" outlineLevel="0" collapsed="false">
      <c r="A456" s="24" t="s">
        <v>200</v>
      </c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5"/>
      <c r="O456" s="25"/>
      <c r="P456" s="25"/>
      <c r="Q456" s="25"/>
      <c r="R456" s="25"/>
      <c r="S456" s="25"/>
      <c r="T456" s="28" t="str">
        <f aca="false">IF(N456="","",IF(AND(N456="수정",O456&lt;&gt;""),O456,J456))</f>
        <v/>
      </c>
      <c r="U456" s="28" t="str">
        <f aca="false">IF(N456="","",IF(AND(N456="수정",P456&lt;&gt;""),P456,K456))</f>
        <v/>
      </c>
      <c r="V456" s="28" t="str">
        <f aca="false">IF(N456="","",IF(N456="수정",IF(Q456&lt;&gt;"",Q456,IF(OR(U456="명시 없음",U456="유보",U456="절 아님"),"",L456)),L456))</f>
        <v/>
      </c>
    </row>
    <row r="457" customFormat="false" ht="15" hidden="false" customHeight="false" outlineLevel="0" collapsed="false">
      <c r="A457" s="24" t="s">
        <v>200</v>
      </c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5"/>
      <c r="O457" s="25"/>
      <c r="P457" s="25"/>
      <c r="Q457" s="25"/>
      <c r="R457" s="25"/>
      <c r="S457" s="25"/>
      <c r="T457" s="28" t="str">
        <f aca="false">IF(N457="","",IF(AND(N457="수정",O457&lt;&gt;""),O457,J457))</f>
        <v/>
      </c>
      <c r="U457" s="28" t="str">
        <f aca="false">IF(N457="","",IF(AND(N457="수정",P457&lt;&gt;""),P457,K457))</f>
        <v/>
      </c>
      <c r="V457" s="28" t="str">
        <f aca="false">IF(N457="","",IF(N457="수정",IF(Q457&lt;&gt;"",Q457,IF(OR(U457="명시 없음",U457="유보",U457="절 아님"),"",L457)),L457))</f>
        <v/>
      </c>
    </row>
    <row r="458" customFormat="false" ht="15" hidden="false" customHeight="false" outlineLevel="0" collapsed="false">
      <c r="A458" s="24" t="s">
        <v>200</v>
      </c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5"/>
      <c r="O458" s="25"/>
      <c r="P458" s="25"/>
      <c r="Q458" s="25"/>
      <c r="R458" s="25"/>
      <c r="S458" s="25"/>
      <c r="T458" s="28" t="str">
        <f aca="false">IF(N458="","",IF(AND(N458="수정",O458&lt;&gt;""),O458,J458))</f>
        <v/>
      </c>
      <c r="U458" s="28" t="str">
        <f aca="false">IF(N458="","",IF(AND(N458="수정",P458&lt;&gt;""),P458,K458))</f>
        <v/>
      </c>
      <c r="V458" s="28" t="str">
        <f aca="false">IF(N458="","",IF(N458="수정",IF(Q458&lt;&gt;"",Q458,IF(OR(U458="명시 없음",U458="유보",U458="절 아님"),"",L458)),L458))</f>
        <v/>
      </c>
    </row>
    <row r="459" customFormat="false" ht="15" hidden="false" customHeight="false" outlineLevel="0" collapsed="false">
      <c r="A459" s="24" t="s">
        <v>200</v>
      </c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5"/>
      <c r="O459" s="25"/>
      <c r="P459" s="25"/>
      <c r="Q459" s="25"/>
      <c r="R459" s="25"/>
      <c r="S459" s="25"/>
      <c r="T459" s="28" t="str">
        <f aca="false">IF(N459="","",IF(AND(N459="수정",O459&lt;&gt;""),O459,J459))</f>
        <v/>
      </c>
      <c r="U459" s="28" t="str">
        <f aca="false">IF(N459="","",IF(AND(N459="수정",P459&lt;&gt;""),P459,K459))</f>
        <v/>
      </c>
      <c r="V459" s="28" t="str">
        <f aca="false">IF(N459="","",IF(N459="수정",IF(Q459&lt;&gt;"",Q459,IF(OR(U459="명시 없음",U459="유보",U459="절 아님"),"",L459)),L459))</f>
        <v/>
      </c>
    </row>
    <row r="460" customFormat="false" ht="15" hidden="false" customHeight="false" outlineLevel="0" collapsed="false">
      <c r="A460" s="24" t="s">
        <v>200</v>
      </c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5"/>
      <c r="O460" s="25"/>
      <c r="P460" s="25"/>
      <c r="Q460" s="25"/>
      <c r="R460" s="25"/>
      <c r="S460" s="25"/>
      <c r="T460" s="28" t="str">
        <f aca="false">IF(N460="","",IF(AND(N460="수정",O460&lt;&gt;""),O460,J460))</f>
        <v/>
      </c>
      <c r="U460" s="28" t="str">
        <f aca="false">IF(N460="","",IF(AND(N460="수정",P460&lt;&gt;""),P460,K460))</f>
        <v/>
      </c>
      <c r="V460" s="28" t="str">
        <f aca="false">IF(N460="","",IF(N460="수정",IF(Q460&lt;&gt;"",Q460,IF(OR(U460="명시 없음",U460="유보",U460="절 아님"),"",L460)),L460))</f>
        <v/>
      </c>
    </row>
    <row r="461" customFormat="false" ht="15" hidden="false" customHeight="false" outlineLevel="0" collapsed="false">
      <c r="A461" s="24" t="s">
        <v>200</v>
      </c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5"/>
      <c r="O461" s="25"/>
      <c r="P461" s="25"/>
      <c r="Q461" s="25"/>
      <c r="R461" s="25"/>
      <c r="S461" s="25"/>
      <c r="T461" s="28" t="str">
        <f aca="false">IF(N461="","",IF(AND(N461="수정",O461&lt;&gt;""),O461,J461))</f>
        <v/>
      </c>
      <c r="U461" s="28" t="str">
        <f aca="false">IF(N461="","",IF(AND(N461="수정",P461&lt;&gt;""),P461,K461))</f>
        <v/>
      </c>
      <c r="V461" s="28" t="str">
        <f aca="false">IF(N461="","",IF(N461="수정",IF(Q461&lt;&gt;"",Q461,IF(OR(U461="명시 없음",U461="유보",U461="절 아님"),"",L461)),L461))</f>
        <v/>
      </c>
    </row>
    <row r="462" customFormat="false" ht="15" hidden="false" customHeight="false" outlineLevel="0" collapsed="false">
      <c r="A462" s="24" t="s">
        <v>200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5"/>
      <c r="O462" s="25"/>
      <c r="P462" s="25"/>
      <c r="Q462" s="25"/>
      <c r="R462" s="25"/>
      <c r="S462" s="25"/>
      <c r="T462" s="28" t="str">
        <f aca="false">IF(N462="","",IF(AND(N462="수정",O462&lt;&gt;""),O462,J462))</f>
        <v/>
      </c>
      <c r="U462" s="28" t="str">
        <f aca="false">IF(N462="","",IF(AND(N462="수정",P462&lt;&gt;""),P462,K462))</f>
        <v/>
      </c>
      <c r="V462" s="28" t="str">
        <f aca="false">IF(N462="","",IF(N462="수정",IF(Q462&lt;&gt;"",Q462,IF(OR(U462="명시 없음",U462="유보",U462="절 아님"),"",L462)),L462))</f>
        <v/>
      </c>
    </row>
    <row r="463" customFormat="false" ht="15" hidden="false" customHeight="false" outlineLevel="0" collapsed="false">
      <c r="A463" s="24" t="s">
        <v>200</v>
      </c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5"/>
      <c r="O463" s="25"/>
      <c r="P463" s="25"/>
      <c r="Q463" s="25"/>
      <c r="R463" s="25"/>
      <c r="S463" s="25"/>
      <c r="T463" s="28" t="str">
        <f aca="false">IF(N463="","",IF(AND(N463="수정",O463&lt;&gt;""),O463,J463))</f>
        <v/>
      </c>
      <c r="U463" s="28" t="str">
        <f aca="false">IF(N463="","",IF(AND(N463="수정",P463&lt;&gt;""),P463,K463))</f>
        <v/>
      </c>
      <c r="V463" s="28" t="str">
        <f aca="false">IF(N463="","",IF(N463="수정",IF(Q463&lt;&gt;"",Q463,IF(OR(U463="명시 없음",U463="유보",U463="절 아님"),"",L463)),L463))</f>
        <v/>
      </c>
    </row>
    <row r="464" customFormat="false" ht="15" hidden="false" customHeight="false" outlineLevel="0" collapsed="false">
      <c r="A464" s="24" t="s">
        <v>200</v>
      </c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5"/>
      <c r="O464" s="25"/>
      <c r="P464" s="25"/>
      <c r="Q464" s="25"/>
      <c r="R464" s="25"/>
      <c r="S464" s="25"/>
      <c r="T464" s="28" t="str">
        <f aca="false">IF(N464="","",IF(AND(N464="수정",O464&lt;&gt;""),O464,J464))</f>
        <v/>
      </c>
      <c r="U464" s="28" t="str">
        <f aca="false">IF(N464="","",IF(AND(N464="수정",P464&lt;&gt;""),P464,K464))</f>
        <v/>
      </c>
      <c r="V464" s="28" t="str">
        <f aca="false">IF(N464="","",IF(N464="수정",IF(Q464&lt;&gt;"",Q464,IF(OR(U464="명시 없음",U464="유보",U464="절 아님"),"",L464)),L464))</f>
        <v/>
      </c>
    </row>
    <row r="465" customFormat="false" ht="15" hidden="false" customHeight="false" outlineLevel="0" collapsed="false">
      <c r="A465" s="24" t="s">
        <v>200</v>
      </c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5"/>
      <c r="O465" s="25"/>
      <c r="P465" s="25"/>
      <c r="Q465" s="25"/>
      <c r="R465" s="25"/>
      <c r="S465" s="25"/>
      <c r="T465" s="28" t="str">
        <f aca="false">IF(N465="","",IF(AND(N465="수정",O465&lt;&gt;""),O465,J465))</f>
        <v/>
      </c>
      <c r="U465" s="28" t="str">
        <f aca="false">IF(N465="","",IF(AND(N465="수정",P465&lt;&gt;""),P465,K465))</f>
        <v/>
      </c>
      <c r="V465" s="28" t="str">
        <f aca="false">IF(N465="","",IF(N465="수정",IF(Q465&lt;&gt;"",Q465,IF(OR(U465="명시 없음",U465="유보",U465="절 아님"),"",L465)),L465))</f>
        <v/>
      </c>
    </row>
    <row r="466" customFormat="false" ht="15" hidden="false" customHeight="false" outlineLevel="0" collapsed="false">
      <c r="A466" s="24" t="s">
        <v>200</v>
      </c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5"/>
      <c r="O466" s="25"/>
      <c r="P466" s="25"/>
      <c r="Q466" s="25"/>
      <c r="R466" s="25"/>
      <c r="S466" s="25"/>
      <c r="T466" s="28" t="str">
        <f aca="false">IF(N466="","",IF(AND(N466="수정",O466&lt;&gt;""),O466,J466))</f>
        <v/>
      </c>
      <c r="U466" s="28" t="str">
        <f aca="false">IF(N466="","",IF(AND(N466="수정",P466&lt;&gt;""),P466,K466))</f>
        <v/>
      </c>
      <c r="V466" s="28" t="str">
        <f aca="false">IF(N466="","",IF(N466="수정",IF(Q466&lt;&gt;"",Q466,IF(OR(U466="명시 없음",U466="유보",U466="절 아님"),"",L466)),L466))</f>
        <v/>
      </c>
    </row>
    <row r="467" customFormat="false" ht="15" hidden="false" customHeight="false" outlineLevel="0" collapsed="false">
      <c r="A467" s="24" t="s">
        <v>200</v>
      </c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5"/>
      <c r="O467" s="25"/>
      <c r="P467" s="25"/>
      <c r="Q467" s="25"/>
      <c r="R467" s="25"/>
      <c r="S467" s="25"/>
      <c r="T467" s="28" t="str">
        <f aca="false">IF(N467="","",IF(AND(N467="수정",O467&lt;&gt;""),O467,J467))</f>
        <v/>
      </c>
      <c r="U467" s="28" t="str">
        <f aca="false">IF(N467="","",IF(AND(N467="수정",P467&lt;&gt;""),P467,K467))</f>
        <v/>
      </c>
      <c r="V467" s="28" t="str">
        <f aca="false">IF(N467="","",IF(N467="수정",IF(Q467&lt;&gt;"",Q467,IF(OR(U467="명시 없음",U467="유보",U467="절 아님"),"",L467)),L467))</f>
        <v/>
      </c>
    </row>
    <row r="468" customFormat="false" ht="15" hidden="false" customHeight="false" outlineLevel="0" collapsed="false">
      <c r="A468" s="24" t="s">
        <v>200</v>
      </c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5"/>
      <c r="O468" s="25"/>
      <c r="P468" s="25"/>
      <c r="Q468" s="25"/>
      <c r="R468" s="25"/>
      <c r="S468" s="25"/>
      <c r="T468" s="28" t="str">
        <f aca="false">IF(N468="","",IF(AND(N468="수정",O468&lt;&gt;""),O468,J468))</f>
        <v/>
      </c>
      <c r="U468" s="28" t="str">
        <f aca="false">IF(N468="","",IF(AND(N468="수정",P468&lt;&gt;""),P468,K468))</f>
        <v/>
      </c>
      <c r="V468" s="28" t="str">
        <f aca="false">IF(N468="","",IF(N468="수정",IF(Q468&lt;&gt;"",Q468,IF(OR(U468="명시 없음",U468="유보",U468="절 아님"),"",L468)),L468))</f>
        <v/>
      </c>
    </row>
    <row r="469" customFormat="false" ht="15" hidden="false" customHeight="false" outlineLevel="0" collapsed="false">
      <c r="A469" s="24" t="s">
        <v>200</v>
      </c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5"/>
      <c r="O469" s="25"/>
      <c r="P469" s="25"/>
      <c r="Q469" s="25"/>
      <c r="R469" s="25"/>
      <c r="S469" s="25"/>
      <c r="T469" s="28" t="str">
        <f aca="false">IF(N469="","",IF(AND(N469="수정",O469&lt;&gt;""),O469,J469))</f>
        <v/>
      </c>
      <c r="U469" s="28" t="str">
        <f aca="false">IF(N469="","",IF(AND(N469="수정",P469&lt;&gt;""),P469,K469))</f>
        <v/>
      </c>
      <c r="V469" s="28" t="str">
        <f aca="false">IF(N469="","",IF(N469="수정",IF(Q469&lt;&gt;"",Q469,IF(OR(U469="명시 없음",U469="유보",U469="절 아님"),"",L469)),L469))</f>
        <v/>
      </c>
    </row>
    <row r="470" customFormat="false" ht="15" hidden="false" customHeight="false" outlineLevel="0" collapsed="false">
      <c r="A470" s="24" t="s">
        <v>200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5"/>
      <c r="O470" s="25"/>
      <c r="P470" s="25"/>
      <c r="Q470" s="25"/>
      <c r="R470" s="25"/>
      <c r="S470" s="25"/>
      <c r="T470" s="28" t="str">
        <f aca="false">IF(N470="","",IF(AND(N470="수정",O470&lt;&gt;""),O470,J470))</f>
        <v/>
      </c>
      <c r="U470" s="28" t="str">
        <f aca="false">IF(N470="","",IF(AND(N470="수정",P470&lt;&gt;""),P470,K470))</f>
        <v/>
      </c>
      <c r="V470" s="28" t="str">
        <f aca="false">IF(N470="","",IF(N470="수정",IF(Q470&lt;&gt;"",Q470,IF(OR(U470="명시 없음",U470="유보",U470="절 아님"),"",L470)),L470))</f>
        <v/>
      </c>
    </row>
    <row r="471" customFormat="false" ht="15" hidden="false" customHeight="false" outlineLevel="0" collapsed="false">
      <c r="A471" s="24" t="s">
        <v>200</v>
      </c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5"/>
      <c r="O471" s="25"/>
      <c r="P471" s="25"/>
      <c r="Q471" s="25"/>
      <c r="R471" s="25"/>
      <c r="S471" s="25"/>
      <c r="T471" s="28" t="str">
        <f aca="false">IF(N471="","",IF(AND(N471="수정",O471&lt;&gt;""),O471,J471))</f>
        <v/>
      </c>
      <c r="U471" s="28" t="str">
        <f aca="false">IF(N471="","",IF(AND(N471="수정",P471&lt;&gt;""),P471,K471))</f>
        <v/>
      </c>
      <c r="V471" s="28" t="str">
        <f aca="false">IF(N471="","",IF(N471="수정",IF(Q471&lt;&gt;"",Q471,IF(OR(U471="명시 없음",U471="유보",U471="절 아님"),"",L471)),L471))</f>
        <v/>
      </c>
    </row>
    <row r="472" customFormat="false" ht="15" hidden="false" customHeight="false" outlineLevel="0" collapsed="false">
      <c r="A472" s="24" t="s">
        <v>200</v>
      </c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5"/>
      <c r="O472" s="25"/>
      <c r="P472" s="25"/>
      <c r="Q472" s="25"/>
      <c r="R472" s="25"/>
      <c r="S472" s="25"/>
      <c r="T472" s="28" t="str">
        <f aca="false">IF(N472="","",IF(AND(N472="수정",O472&lt;&gt;""),O472,J472))</f>
        <v/>
      </c>
      <c r="U472" s="28" t="str">
        <f aca="false">IF(N472="","",IF(AND(N472="수정",P472&lt;&gt;""),P472,K472))</f>
        <v/>
      </c>
      <c r="V472" s="28" t="str">
        <f aca="false">IF(N472="","",IF(N472="수정",IF(Q472&lt;&gt;"",Q472,IF(OR(U472="명시 없음",U472="유보",U472="절 아님"),"",L472)),L472))</f>
        <v/>
      </c>
    </row>
    <row r="473" customFormat="false" ht="15" hidden="false" customHeight="false" outlineLevel="0" collapsed="false">
      <c r="A473" s="24" t="s">
        <v>200</v>
      </c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5"/>
      <c r="O473" s="25"/>
      <c r="P473" s="25"/>
      <c r="Q473" s="25"/>
      <c r="R473" s="25"/>
      <c r="S473" s="25"/>
      <c r="T473" s="28" t="str">
        <f aca="false">IF(N473="","",IF(AND(N473="수정",O473&lt;&gt;""),O473,J473))</f>
        <v/>
      </c>
      <c r="U473" s="28" t="str">
        <f aca="false">IF(N473="","",IF(AND(N473="수정",P473&lt;&gt;""),P473,K473))</f>
        <v/>
      </c>
      <c r="V473" s="28" t="str">
        <f aca="false">IF(N473="","",IF(N473="수정",IF(Q473&lt;&gt;"",Q473,IF(OR(U473="명시 없음",U473="유보",U473="절 아님"),"",L473)),L473))</f>
        <v/>
      </c>
    </row>
    <row r="474" customFormat="false" ht="15" hidden="false" customHeight="false" outlineLevel="0" collapsed="false">
      <c r="A474" s="24" t="s">
        <v>200</v>
      </c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5"/>
      <c r="O474" s="25"/>
      <c r="P474" s="25"/>
      <c r="Q474" s="25"/>
      <c r="R474" s="25"/>
      <c r="S474" s="25"/>
      <c r="T474" s="28" t="str">
        <f aca="false">IF(N474="","",IF(AND(N474="수정",O474&lt;&gt;""),O474,J474))</f>
        <v/>
      </c>
      <c r="U474" s="28" t="str">
        <f aca="false">IF(N474="","",IF(AND(N474="수정",P474&lt;&gt;""),P474,K474))</f>
        <v/>
      </c>
      <c r="V474" s="28" t="str">
        <f aca="false">IF(N474="","",IF(N474="수정",IF(Q474&lt;&gt;"",Q474,IF(OR(U474="명시 없음",U474="유보",U474="절 아님"),"",L474)),L474))</f>
        <v/>
      </c>
    </row>
    <row r="475" customFormat="false" ht="15" hidden="false" customHeight="false" outlineLevel="0" collapsed="false">
      <c r="A475" s="24" t="s">
        <v>200</v>
      </c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5"/>
      <c r="O475" s="25"/>
      <c r="P475" s="25"/>
      <c r="Q475" s="25"/>
      <c r="R475" s="25"/>
      <c r="S475" s="25"/>
      <c r="T475" s="28" t="str">
        <f aca="false">IF(N475="","",IF(AND(N475="수정",O475&lt;&gt;""),O475,J475))</f>
        <v/>
      </c>
      <c r="U475" s="28" t="str">
        <f aca="false">IF(N475="","",IF(AND(N475="수정",P475&lt;&gt;""),P475,K475))</f>
        <v/>
      </c>
      <c r="V475" s="28" t="str">
        <f aca="false">IF(N475="","",IF(N475="수정",IF(Q475&lt;&gt;"",Q475,IF(OR(U475="명시 없음",U475="유보",U475="절 아님"),"",L475)),L475))</f>
        <v/>
      </c>
    </row>
    <row r="476" customFormat="false" ht="15" hidden="false" customHeight="false" outlineLevel="0" collapsed="false">
      <c r="A476" s="24" t="s">
        <v>200</v>
      </c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5"/>
      <c r="O476" s="25"/>
      <c r="P476" s="25"/>
      <c r="Q476" s="25"/>
      <c r="R476" s="25"/>
      <c r="S476" s="25"/>
      <c r="T476" s="28" t="str">
        <f aca="false">IF(N476="","",IF(AND(N476="수정",O476&lt;&gt;""),O476,J476))</f>
        <v/>
      </c>
      <c r="U476" s="28" t="str">
        <f aca="false">IF(N476="","",IF(AND(N476="수정",P476&lt;&gt;""),P476,K476))</f>
        <v/>
      </c>
      <c r="V476" s="28" t="str">
        <f aca="false">IF(N476="","",IF(N476="수정",IF(Q476&lt;&gt;"",Q476,IF(OR(U476="명시 없음",U476="유보",U476="절 아님"),"",L476)),L476))</f>
        <v/>
      </c>
    </row>
    <row r="477" customFormat="false" ht="15" hidden="false" customHeight="false" outlineLevel="0" collapsed="false">
      <c r="A477" s="24" t="s">
        <v>200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5"/>
      <c r="O477" s="25"/>
      <c r="P477" s="25"/>
      <c r="Q477" s="25"/>
      <c r="R477" s="25"/>
      <c r="S477" s="25"/>
      <c r="T477" s="28" t="str">
        <f aca="false">IF(N477="","",IF(AND(N477="수정",O477&lt;&gt;""),O477,J477))</f>
        <v/>
      </c>
      <c r="U477" s="28" t="str">
        <f aca="false">IF(N477="","",IF(AND(N477="수정",P477&lt;&gt;""),P477,K477))</f>
        <v/>
      </c>
      <c r="V477" s="28" t="str">
        <f aca="false">IF(N477="","",IF(N477="수정",IF(Q477&lt;&gt;"",Q477,IF(OR(U477="명시 없음",U477="유보",U477="절 아님"),"",L477)),L477))</f>
        <v/>
      </c>
    </row>
    <row r="478" customFormat="false" ht="15" hidden="false" customHeight="false" outlineLevel="0" collapsed="false">
      <c r="A478" s="24" t="s">
        <v>200</v>
      </c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5"/>
      <c r="O478" s="25"/>
      <c r="P478" s="25"/>
      <c r="Q478" s="25"/>
      <c r="R478" s="25"/>
      <c r="S478" s="25"/>
      <c r="T478" s="28" t="str">
        <f aca="false">IF(N478="","",IF(AND(N478="수정",O478&lt;&gt;""),O478,J478))</f>
        <v/>
      </c>
      <c r="U478" s="28" t="str">
        <f aca="false">IF(N478="","",IF(AND(N478="수정",P478&lt;&gt;""),P478,K478))</f>
        <v/>
      </c>
      <c r="V478" s="28" t="str">
        <f aca="false">IF(N478="","",IF(N478="수정",IF(Q478&lt;&gt;"",Q478,IF(OR(U478="명시 없음",U478="유보",U478="절 아님"),"",L478)),L478))</f>
        <v/>
      </c>
    </row>
    <row r="479" customFormat="false" ht="15" hidden="false" customHeight="false" outlineLevel="0" collapsed="false">
      <c r="A479" s="24" t="s">
        <v>200</v>
      </c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5"/>
      <c r="O479" s="25"/>
      <c r="P479" s="25"/>
      <c r="Q479" s="25"/>
      <c r="R479" s="25"/>
      <c r="S479" s="25"/>
      <c r="T479" s="28" t="str">
        <f aca="false">IF(N479="","",IF(AND(N479="수정",O479&lt;&gt;""),O479,J479))</f>
        <v/>
      </c>
      <c r="U479" s="28" t="str">
        <f aca="false">IF(N479="","",IF(AND(N479="수정",P479&lt;&gt;""),P479,K479))</f>
        <v/>
      </c>
      <c r="V479" s="28" t="str">
        <f aca="false">IF(N479="","",IF(N479="수정",IF(Q479&lt;&gt;"",Q479,IF(OR(U479="명시 없음",U479="유보",U479="절 아님"),"",L479)),L479))</f>
        <v/>
      </c>
    </row>
    <row r="480" customFormat="false" ht="15" hidden="false" customHeight="false" outlineLevel="0" collapsed="false">
      <c r="A480" s="24" t="s">
        <v>200</v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5"/>
      <c r="O480" s="25"/>
      <c r="P480" s="25"/>
      <c r="Q480" s="25"/>
      <c r="R480" s="25"/>
      <c r="S480" s="25"/>
      <c r="T480" s="28" t="str">
        <f aca="false">IF(N480="","",IF(AND(N480="수정",O480&lt;&gt;""),O480,J480))</f>
        <v/>
      </c>
      <c r="U480" s="28" t="str">
        <f aca="false">IF(N480="","",IF(AND(N480="수정",P480&lt;&gt;""),P480,K480))</f>
        <v/>
      </c>
      <c r="V480" s="28" t="str">
        <f aca="false">IF(N480="","",IF(N480="수정",IF(Q480&lt;&gt;"",Q480,IF(OR(U480="명시 없음",U480="유보",U480="절 아님"),"",L480)),L480))</f>
        <v/>
      </c>
    </row>
    <row r="481" customFormat="false" ht="15" hidden="false" customHeight="false" outlineLevel="0" collapsed="false">
      <c r="A481" s="24" t="s">
        <v>200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5"/>
      <c r="O481" s="25"/>
      <c r="P481" s="25"/>
      <c r="Q481" s="25"/>
      <c r="R481" s="25"/>
      <c r="S481" s="25"/>
      <c r="T481" s="28" t="str">
        <f aca="false">IF(N481="","",IF(AND(N481="수정",O481&lt;&gt;""),O481,J481))</f>
        <v/>
      </c>
      <c r="U481" s="28" t="str">
        <f aca="false">IF(N481="","",IF(AND(N481="수정",P481&lt;&gt;""),P481,K481))</f>
        <v/>
      </c>
      <c r="V481" s="28" t="str">
        <f aca="false">IF(N481="","",IF(N481="수정",IF(Q481&lt;&gt;"",Q481,IF(OR(U481="명시 없음",U481="유보",U481="절 아님"),"",L481)),L481))</f>
        <v/>
      </c>
    </row>
    <row r="482" customFormat="false" ht="15" hidden="false" customHeight="false" outlineLevel="0" collapsed="false">
      <c r="A482" s="24" t="s">
        <v>200</v>
      </c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5"/>
      <c r="O482" s="25"/>
      <c r="P482" s="25"/>
      <c r="Q482" s="25"/>
      <c r="R482" s="25"/>
      <c r="S482" s="25"/>
      <c r="T482" s="28" t="str">
        <f aca="false">IF(N482="","",IF(AND(N482="수정",O482&lt;&gt;""),O482,J482))</f>
        <v/>
      </c>
      <c r="U482" s="28" t="str">
        <f aca="false">IF(N482="","",IF(AND(N482="수정",P482&lt;&gt;""),P482,K482))</f>
        <v/>
      </c>
      <c r="V482" s="28" t="str">
        <f aca="false">IF(N482="","",IF(N482="수정",IF(Q482&lt;&gt;"",Q482,IF(OR(U482="명시 없음",U482="유보",U482="절 아님"),"",L482)),L482))</f>
        <v/>
      </c>
    </row>
    <row r="483" customFormat="false" ht="15" hidden="false" customHeight="false" outlineLevel="0" collapsed="false">
      <c r="A483" s="24" t="s">
        <v>200</v>
      </c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5"/>
      <c r="O483" s="25"/>
      <c r="P483" s="25"/>
      <c r="Q483" s="25"/>
      <c r="R483" s="25"/>
      <c r="S483" s="25"/>
      <c r="T483" s="28" t="str">
        <f aca="false">IF(N483="","",IF(AND(N483="수정",O483&lt;&gt;""),O483,J483))</f>
        <v/>
      </c>
      <c r="U483" s="28" t="str">
        <f aca="false">IF(N483="","",IF(AND(N483="수정",P483&lt;&gt;""),P483,K483))</f>
        <v/>
      </c>
      <c r="V483" s="28" t="str">
        <f aca="false">IF(N483="","",IF(N483="수정",IF(Q483&lt;&gt;"",Q483,IF(OR(U483="명시 없음",U483="유보",U483="절 아님"),"",L483)),L483))</f>
        <v/>
      </c>
    </row>
    <row r="484" customFormat="false" ht="15" hidden="false" customHeight="false" outlineLevel="0" collapsed="false">
      <c r="A484" s="24" t="s">
        <v>200</v>
      </c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5"/>
      <c r="O484" s="25"/>
      <c r="P484" s="25"/>
      <c r="Q484" s="25"/>
      <c r="R484" s="25"/>
      <c r="S484" s="25"/>
      <c r="T484" s="28" t="str">
        <f aca="false">IF(N484="","",IF(AND(N484="수정",O484&lt;&gt;""),O484,J484))</f>
        <v/>
      </c>
      <c r="U484" s="28" t="str">
        <f aca="false">IF(N484="","",IF(AND(N484="수정",P484&lt;&gt;""),P484,K484))</f>
        <v/>
      </c>
      <c r="V484" s="28" t="str">
        <f aca="false">IF(N484="","",IF(N484="수정",IF(Q484&lt;&gt;"",Q484,IF(OR(U484="명시 없음",U484="유보",U484="절 아님"),"",L484)),L484))</f>
        <v/>
      </c>
    </row>
    <row r="485" customFormat="false" ht="15" hidden="false" customHeight="false" outlineLevel="0" collapsed="false">
      <c r="A485" s="24" t="s">
        <v>200</v>
      </c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5"/>
      <c r="O485" s="25"/>
      <c r="P485" s="25"/>
      <c r="Q485" s="25"/>
      <c r="R485" s="25"/>
      <c r="S485" s="25"/>
      <c r="T485" s="28" t="str">
        <f aca="false">IF(N485="","",IF(AND(N485="수정",O485&lt;&gt;""),O485,J485))</f>
        <v/>
      </c>
      <c r="U485" s="28" t="str">
        <f aca="false">IF(N485="","",IF(AND(N485="수정",P485&lt;&gt;""),P485,K485))</f>
        <v/>
      </c>
      <c r="V485" s="28" t="str">
        <f aca="false">IF(N485="","",IF(N485="수정",IF(Q485&lt;&gt;"",Q485,IF(OR(U485="명시 없음",U485="유보",U485="절 아님"),"",L485)),L485))</f>
        <v/>
      </c>
    </row>
    <row r="486" customFormat="false" ht="15" hidden="false" customHeight="false" outlineLevel="0" collapsed="false">
      <c r="A486" s="24" t="s">
        <v>200</v>
      </c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5"/>
      <c r="O486" s="25"/>
      <c r="P486" s="25"/>
      <c r="Q486" s="25"/>
      <c r="R486" s="25"/>
      <c r="S486" s="25"/>
      <c r="T486" s="28" t="str">
        <f aca="false">IF(N486="","",IF(AND(N486="수정",O486&lt;&gt;""),O486,J486))</f>
        <v/>
      </c>
      <c r="U486" s="28" t="str">
        <f aca="false">IF(N486="","",IF(AND(N486="수정",P486&lt;&gt;""),P486,K486))</f>
        <v/>
      </c>
      <c r="V486" s="28" t="str">
        <f aca="false">IF(N486="","",IF(N486="수정",IF(Q486&lt;&gt;"",Q486,IF(OR(U486="명시 없음",U486="유보",U486="절 아님"),"",L486)),L486))</f>
        <v/>
      </c>
    </row>
    <row r="487" customFormat="false" ht="15" hidden="false" customHeight="false" outlineLevel="0" collapsed="false">
      <c r="A487" s="24" t="s">
        <v>200</v>
      </c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5"/>
      <c r="O487" s="25"/>
      <c r="P487" s="25"/>
      <c r="Q487" s="25"/>
      <c r="R487" s="25"/>
      <c r="S487" s="25"/>
      <c r="T487" s="28" t="str">
        <f aca="false">IF(N487="","",IF(AND(N487="수정",O487&lt;&gt;""),O487,J487))</f>
        <v/>
      </c>
      <c r="U487" s="28" t="str">
        <f aca="false">IF(N487="","",IF(AND(N487="수정",P487&lt;&gt;""),P487,K487))</f>
        <v/>
      </c>
      <c r="V487" s="28" t="str">
        <f aca="false">IF(N487="","",IF(N487="수정",IF(Q487&lt;&gt;"",Q487,IF(OR(U487="명시 없음",U487="유보",U487="절 아님"),"",L487)),L487))</f>
        <v/>
      </c>
    </row>
    <row r="488" customFormat="false" ht="15" hidden="false" customHeight="false" outlineLevel="0" collapsed="false">
      <c r="A488" s="24" t="s">
        <v>200</v>
      </c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5"/>
      <c r="O488" s="25"/>
      <c r="P488" s="25"/>
      <c r="Q488" s="25"/>
      <c r="R488" s="25"/>
      <c r="S488" s="25"/>
      <c r="T488" s="28" t="str">
        <f aca="false">IF(N488="","",IF(AND(N488="수정",O488&lt;&gt;""),O488,J488))</f>
        <v/>
      </c>
      <c r="U488" s="28" t="str">
        <f aca="false">IF(N488="","",IF(AND(N488="수정",P488&lt;&gt;""),P488,K488))</f>
        <v/>
      </c>
      <c r="V488" s="28" t="str">
        <f aca="false">IF(N488="","",IF(N488="수정",IF(Q488&lt;&gt;"",Q488,IF(OR(U488="명시 없음",U488="유보",U488="절 아님"),"",L488)),L488))</f>
        <v/>
      </c>
    </row>
    <row r="489" customFormat="false" ht="15" hidden="false" customHeight="false" outlineLevel="0" collapsed="false">
      <c r="A489" s="24" t="s">
        <v>200</v>
      </c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5"/>
      <c r="O489" s="25"/>
      <c r="P489" s="25"/>
      <c r="Q489" s="25"/>
      <c r="R489" s="25"/>
      <c r="S489" s="25"/>
      <c r="T489" s="28" t="str">
        <f aca="false">IF(N489="","",IF(AND(N489="수정",O489&lt;&gt;""),O489,J489))</f>
        <v/>
      </c>
      <c r="U489" s="28" t="str">
        <f aca="false">IF(N489="","",IF(AND(N489="수정",P489&lt;&gt;""),P489,K489))</f>
        <v/>
      </c>
      <c r="V489" s="28" t="str">
        <f aca="false">IF(N489="","",IF(N489="수정",IF(Q489&lt;&gt;"",Q489,IF(OR(U489="명시 없음",U489="유보",U489="절 아님"),"",L489)),L489))</f>
        <v/>
      </c>
    </row>
    <row r="490" customFormat="false" ht="15" hidden="false" customHeight="false" outlineLevel="0" collapsed="false">
      <c r="A490" s="24" t="s">
        <v>200</v>
      </c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5"/>
      <c r="O490" s="25"/>
      <c r="P490" s="25"/>
      <c r="Q490" s="25"/>
      <c r="R490" s="25"/>
      <c r="S490" s="25"/>
      <c r="T490" s="28" t="str">
        <f aca="false">IF(N490="","",IF(AND(N490="수정",O490&lt;&gt;""),O490,J490))</f>
        <v/>
      </c>
      <c r="U490" s="28" t="str">
        <f aca="false">IF(N490="","",IF(AND(N490="수정",P490&lt;&gt;""),P490,K490))</f>
        <v/>
      </c>
      <c r="V490" s="28" t="str">
        <f aca="false">IF(N490="","",IF(N490="수정",IF(Q490&lt;&gt;"",Q490,IF(OR(U490="명시 없음",U490="유보",U490="절 아님"),"",L490)),L490))</f>
        <v/>
      </c>
    </row>
    <row r="491" customFormat="false" ht="15" hidden="false" customHeight="false" outlineLevel="0" collapsed="false">
      <c r="A491" s="24" t="s">
        <v>200</v>
      </c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5"/>
      <c r="O491" s="25"/>
      <c r="P491" s="25"/>
      <c r="Q491" s="25"/>
      <c r="R491" s="25"/>
      <c r="S491" s="25"/>
      <c r="T491" s="28" t="str">
        <f aca="false">IF(N491="","",IF(AND(N491="수정",O491&lt;&gt;""),O491,J491))</f>
        <v/>
      </c>
      <c r="U491" s="28" t="str">
        <f aca="false">IF(N491="","",IF(AND(N491="수정",P491&lt;&gt;""),P491,K491))</f>
        <v/>
      </c>
      <c r="V491" s="28" t="str">
        <f aca="false">IF(N491="","",IF(N491="수정",IF(Q491&lt;&gt;"",Q491,IF(OR(U491="명시 없음",U491="유보",U491="절 아님"),"",L491)),L491))</f>
        <v/>
      </c>
    </row>
    <row r="492" customFormat="false" ht="15" hidden="false" customHeight="false" outlineLevel="0" collapsed="false">
      <c r="A492" s="24" t="s">
        <v>200</v>
      </c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5"/>
      <c r="O492" s="25"/>
      <c r="P492" s="25"/>
      <c r="Q492" s="25"/>
      <c r="R492" s="25"/>
      <c r="S492" s="25"/>
      <c r="T492" s="28" t="str">
        <f aca="false">IF(N492="","",IF(AND(N492="수정",O492&lt;&gt;""),O492,J492))</f>
        <v/>
      </c>
      <c r="U492" s="28" t="str">
        <f aca="false">IF(N492="","",IF(AND(N492="수정",P492&lt;&gt;""),P492,K492))</f>
        <v/>
      </c>
      <c r="V492" s="28" t="str">
        <f aca="false">IF(N492="","",IF(N492="수정",IF(Q492&lt;&gt;"",Q492,IF(OR(U492="명시 없음",U492="유보",U492="절 아님"),"",L492)),L492))</f>
        <v/>
      </c>
    </row>
    <row r="493" customFormat="false" ht="15" hidden="false" customHeight="false" outlineLevel="0" collapsed="false">
      <c r="A493" s="24" t="s">
        <v>200</v>
      </c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5"/>
      <c r="O493" s="25"/>
      <c r="P493" s="25"/>
      <c r="Q493" s="25"/>
      <c r="R493" s="25"/>
      <c r="S493" s="25"/>
      <c r="T493" s="28" t="str">
        <f aca="false">IF(N493="","",IF(AND(N493="수정",O493&lt;&gt;""),O493,J493))</f>
        <v/>
      </c>
      <c r="U493" s="28" t="str">
        <f aca="false">IF(N493="","",IF(AND(N493="수정",P493&lt;&gt;""),P493,K493))</f>
        <v/>
      </c>
      <c r="V493" s="28" t="str">
        <f aca="false">IF(N493="","",IF(N493="수정",IF(Q493&lt;&gt;"",Q493,IF(OR(U493="명시 없음",U493="유보",U493="절 아님"),"",L493)),L493))</f>
        <v/>
      </c>
    </row>
    <row r="494" customFormat="false" ht="15" hidden="false" customHeight="false" outlineLevel="0" collapsed="false">
      <c r="A494" s="24" t="s">
        <v>200</v>
      </c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5"/>
      <c r="O494" s="25"/>
      <c r="P494" s="25"/>
      <c r="Q494" s="25"/>
      <c r="R494" s="25"/>
      <c r="S494" s="25"/>
      <c r="T494" s="28" t="str">
        <f aca="false">IF(N494="","",IF(AND(N494="수정",O494&lt;&gt;""),O494,J494))</f>
        <v/>
      </c>
      <c r="U494" s="28" t="str">
        <f aca="false">IF(N494="","",IF(AND(N494="수정",P494&lt;&gt;""),P494,K494))</f>
        <v/>
      </c>
      <c r="V494" s="28" t="str">
        <f aca="false">IF(N494="","",IF(N494="수정",IF(Q494&lt;&gt;"",Q494,IF(OR(U494="명시 없음",U494="유보",U494="절 아님"),"",L494)),L494))</f>
        <v/>
      </c>
    </row>
    <row r="495" customFormat="false" ht="15" hidden="false" customHeight="false" outlineLevel="0" collapsed="false">
      <c r="A495" s="24" t="s">
        <v>200</v>
      </c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5"/>
      <c r="O495" s="25"/>
      <c r="P495" s="25"/>
      <c r="Q495" s="25"/>
      <c r="R495" s="25"/>
      <c r="S495" s="25"/>
      <c r="T495" s="28" t="str">
        <f aca="false">IF(N495="","",IF(AND(N495="수정",O495&lt;&gt;""),O495,J495))</f>
        <v/>
      </c>
      <c r="U495" s="28" t="str">
        <f aca="false">IF(N495="","",IF(AND(N495="수정",P495&lt;&gt;""),P495,K495))</f>
        <v/>
      </c>
      <c r="V495" s="28" t="str">
        <f aca="false">IF(N495="","",IF(N495="수정",IF(Q495&lt;&gt;"",Q495,IF(OR(U495="명시 없음",U495="유보",U495="절 아님"),"",L495)),L495))</f>
        <v/>
      </c>
    </row>
    <row r="496" customFormat="false" ht="15" hidden="false" customHeight="false" outlineLevel="0" collapsed="false">
      <c r="A496" s="24" t="s">
        <v>200</v>
      </c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5"/>
      <c r="O496" s="25"/>
      <c r="P496" s="25"/>
      <c r="Q496" s="25"/>
      <c r="R496" s="25"/>
      <c r="S496" s="25"/>
      <c r="T496" s="28" t="str">
        <f aca="false">IF(N496="","",IF(AND(N496="수정",O496&lt;&gt;""),O496,J496))</f>
        <v/>
      </c>
      <c r="U496" s="28" t="str">
        <f aca="false">IF(N496="","",IF(AND(N496="수정",P496&lt;&gt;""),P496,K496))</f>
        <v/>
      </c>
      <c r="V496" s="28" t="str">
        <f aca="false">IF(N496="","",IF(N496="수정",IF(Q496&lt;&gt;"",Q496,IF(OR(U496="명시 없음",U496="유보",U496="절 아님"),"",L496)),L496))</f>
        <v/>
      </c>
    </row>
    <row r="497" customFormat="false" ht="15" hidden="false" customHeight="false" outlineLevel="0" collapsed="false">
      <c r="A497" s="24" t="s">
        <v>200</v>
      </c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5"/>
      <c r="O497" s="25"/>
      <c r="P497" s="25"/>
      <c r="Q497" s="25"/>
      <c r="R497" s="25"/>
      <c r="S497" s="25"/>
      <c r="T497" s="28" t="str">
        <f aca="false">IF(N497="","",IF(AND(N497="수정",O497&lt;&gt;""),O497,J497))</f>
        <v/>
      </c>
      <c r="U497" s="28" t="str">
        <f aca="false">IF(N497="","",IF(AND(N497="수정",P497&lt;&gt;""),P497,K497))</f>
        <v/>
      </c>
      <c r="V497" s="28" t="str">
        <f aca="false">IF(N497="","",IF(N497="수정",IF(Q497&lt;&gt;"",Q497,IF(OR(U497="명시 없음",U497="유보",U497="절 아님"),"",L497)),L497))</f>
        <v/>
      </c>
    </row>
    <row r="498" customFormat="false" ht="15" hidden="false" customHeight="false" outlineLevel="0" collapsed="false">
      <c r="A498" s="24" t="s">
        <v>200</v>
      </c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5"/>
      <c r="O498" s="25"/>
      <c r="P498" s="25"/>
      <c r="Q498" s="25"/>
      <c r="R498" s="25"/>
      <c r="S498" s="25"/>
      <c r="T498" s="28" t="str">
        <f aca="false">IF(N498="","",IF(AND(N498="수정",O498&lt;&gt;""),O498,J498))</f>
        <v/>
      </c>
      <c r="U498" s="28" t="str">
        <f aca="false">IF(N498="","",IF(AND(N498="수정",P498&lt;&gt;""),P498,K498))</f>
        <v/>
      </c>
      <c r="V498" s="28" t="str">
        <f aca="false">IF(N498="","",IF(N498="수정",IF(Q498&lt;&gt;"",Q498,IF(OR(U498="명시 없음",U498="유보",U498="절 아님"),"",L498)),L498))</f>
        <v/>
      </c>
    </row>
    <row r="499" customFormat="false" ht="15" hidden="false" customHeight="false" outlineLevel="0" collapsed="false">
      <c r="A499" s="24" t="s">
        <v>200</v>
      </c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5"/>
      <c r="O499" s="25"/>
      <c r="P499" s="25"/>
      <c r="Q499" s="25"/>
      <c r="R499" s="25"/>
      <c r="S499" s="25"/>
      <c r="T499" s="28" t="str">
        <f aca="false">IF(N499="","",IF(AND(N499="수정",O499&lt;&gt;""),O499,J499))</f>
        <v/>
      </c>
      <c r="U499" s="28" t="str">
        <f aca="false">IF(N499="","",IF(AND(N499="수정",P499&lt;&gt;""),P499,K499))</f>
        <v/>
      </c>
      <c r="V499" s="28" t="str">
        <f aca="false">IF(N499="","",IF(N499="수정",IF(Q499&lt;&gt;"",Q499,IF(OR(U499="명시 없음",U499="유보",U499="절 아님"),"",L499)),L499))</f>
        <v/>
      </c>
    </row>
    <row r="500" customFormat="false" ht="15" hidden="false" customHeight="false" outlineLevel="0" collapsed="false">
      <c r="A500" s="24" t="s">
        <v>200</v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5"/>
      <c r="O500" s="25"/>
      <c r="P500" s="25"/>
      <c r="Q500" s="25"/>
      <c r="R500" s="25"/>
      <c r="S500" s="25"/>
      <c r="T500" s="28" t="str">
        <f aca="false">IF(N500="","",IF(AND(N500="수정",O500&lt;&gt;""),O500,J500))</f>
        <v/>
      </c>
      <c r="U500" s="28" t="str">
        <f aca="false">IF(N500="","",IF(AND(N500="수정",P500&lt;&gt;""),P500,K500))</f>
        <v/>
      </c>
      <c r="V500" s="28" t="str">
        <f aca="false">IF(N500="","",IF(N500="수정",IF(Q500&lt;&gt;"",Q500,IF(OR(U500="명시 없음",U500="유보",U500="절 아님"),"",L500)),L500))</f>
        <v/>
      </c>
    </row>
    <row r="501" customFormat="false" ht="15" hidden="false" customHeight="false" outlineLevel="0" collapsed="false">
      <c r="A501" s="24" t="s">
        <v>200</v>
      </c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5"/>
      <c r="O501" s="25"/>
      <c r="P501" s="25"/>
      <c r="Q501" s="25"/>
      <c r="R501" s="25"/>
      <c r="S501" s="25"/>
      <c r="T501" s="28" t="str">
        <f aca="false">IF(N501="","",IF(AND(N501="수정",O501&lt;&gt;""),O501,J501))</f>
        <v/>
      </c>
      <c r="U501" s="28" t="str">
        <f aca="false">IF(N501="","",IF(AND(N501="수정",P501&lt;&gt;""),P501,K501))</f>
        <v/>
      </c>
      <c r="V501" s="28" t="str">
        <f aca="false">IF(N501="","",IF(N501="수정",IF(Q501&lt;&gt;"",Q501,IF(OR(U501="명시 없음",U501="유보",U501="절 아님"),"",L501)),L501))</f>
        <v/>
      </c>
    </row>
    <row r="502" customFormat="false" ht="15" hidden="false" customHeight="false" outlineLevel="0" collapsed="false">
      <c r="A502" s="24" t="s">
        <v>200</v>
      </c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5"/>
      <c r="O502" s="25"/>
      <c r="P502" s="25"/>
      <c r="Q502" s="25"/>
      <c r="R502" s="25"/>
      <c r="S502" s="25"/>
      <c r="T502" s="28" t="str">
        <f aca="false">IF(N502="","",IF(AND(N502="수정",O502&lt;&gt;""),O502,J502))</f>
        <v/>
      </c>
      <c r="U502" s="28" t="str">
        <f aca="false">IF(N502="","",IF(AND(N502="수정",P502&lt;&gt;""),P502,K502))</f>
        <v/>
      </c>
      <c r="V502" s="28" t="str">
        <f aca="false">IF(N502="","",IF(N502="수정",IF(Q502&lt;&gt;"",Q502,IF(OR(U502="명시 없음",U502="유보",U502="절 아님"),"",L502)),L502))</f>
        <v/>
      </c>
    </row>
    <row r="503" customFormat="false" ht="15" hidden="false" customHeight="false" outlineLevel="0" collapsed="false">
      <c r="A503" s="24" t="s">
        <v>200</v>
      </c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5"/>
      <c r="O503" s="25"/>
      <c r="P503" s="25"/>
      <c r="Q503" s="25"/>
      <c r="R503" s="25"/>
      <c r="S503" s="25"/>
      <c r="T503" s="28" t="str">
        <f aca="false">IF(N503="","",IF(AND(N503="수정",O503&lt;&gt;""),O503,J503))</f>
        <v/>
      </c>
      <c r="U503" s="28" t="str">
        <f aca="false">IF(N503="","",IF(AND(N503="수정",P503&lt;&gt;""),P503,K503))</f>
        <v/>
      </c>
      <c r="V503" s="28" t="str">
        <f aca="false">IF(N503="","",IF(N503="수정",IF(Q503&lt;&gt;"",Q503,IF(OR(U503="명시 없음",U503="유보",U503="절 아님"),"",L503)),L503))</f>
        <v/>
      </c>
    </row>
    <row r="504" customFormat="false" ht="15" hidden="false" customHeight="false" outlineLevel="0" collapsed="false">
      <c r="A504" s="24" t="s">
        <v>200</v>
      </c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5"/>
      <c r="O504" s="25"/>
      <c r="P504" s="25"/>
      <c r="Q504" s="25"/>
      <c r="R504" s="25"/>
      <c r="S504" s="25"/>
      <c r="T504" s="28" t="str">
        <f aca="false">IF(N504="","",IF(AND(N504="수정",O504&lt;&gt;""),O504,J504))</f>
        <v/>
      </c>
      <c r="U504" s="28" t="str">
        <f aca="false">IF(N504="","",IF(AND(N504="수정",P504&lt;&gt;""),P504,K504))</f>
        <v/>
      </c>
      <c r="V504" s="28" t="str">
        <f aca="false">IF(N504="","",IF(N504="수정",IF(Q504&lt;&gt;"",Q504,IF(OR(U504="명시 없음",U504="유보",U504="절 아님"),"",L504)),L504))</f>
        <v/>
      </c>
    </row>
    <row r="505" customFormat="false" ht="15" hidden="false" customHeight="false" outlineLevel="0" collapsed="false">
      <c r="A505" s="24" t="s">
        <v>200</v>
      </c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5"/>
      <c r="O505" s="25"/>
      <c r="P505" s="25"/>
      <c r="Q505" s="25"/>
      <c r="R505" s="25"/>
      <c r="S505" s="25"/>
      <c r="T505" s="28" t="str">
        <f aca="false">IF(N505="","",IF(AND(N505="수정",O505&lt;&gt;""),O505,J505))</f>
        <v/>
      </c>
      <c r="U505" s="28" t="str">
        <f aca="false">IF(N505="","",IF(AND(N505="수정",P505&lt;&gt;""),P505,K505))</f>
        <v/>
      </c>
      <c r="V505" s="28" t="str">
        <f aca="false">IF(N505="","",IF(N505="수정",IF(Q505&lt;&gt;"",Q505,IF(OR(U505="명시 없음",U505="유보",U505="절 아님"),"",L505)),L505))</f>
        <v/>
      </c>
    </row>
    <row r="506" customFormat="false" ht="15" hidden="false" customHeight="false" outlineLevel="0" collapsed="false">
      <c r="A506" s="24" t="s">
        <v>200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5"/>
      <c r="O506" s="25"/>
      <c r="P506" s="25"/>
      <c r="Q506" s="25"/>
      <c r="R506" s="25"/>
      <c r="S506" s="25"/>
      <c r="T506" s="28" t="str">
        <f aca="false">IF(N506="","",IF(AND(N506="수정",O506&lt;&gt;""),O506,J506))</f>
        <v/>
      </c>
      <c r="U506" s="28" t="str">
        <f aca="false">IF(N506="","",IF(AND(N506="수정",P506&lt;&gt;""),P506,K506))</f>
        <v/>
      </c>
      <c r="V506" s="28" t="str">
        <f aca="false">IF(N506="","",IF(N506="수정",IF(Q506&lt;&gt;"",Q506,IF(OR(U506="명시 없음",U506="유보",U506="절 아님"),"",L506)),L506))</f>
        <v/>
      </c>
    </row>
    <row r="507" customFormat="false" ht="15" hidden="false" customHeight="false" outlineLevel="0" collapsed="false">
      <c r="A507" s="24" t="s">
        <v>200</v>
      </c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5"/>
      <c r="O507" s="25"/>
      <c r="P507" s="25"/>
      <c r="Q507" s="25"/>
      <c r="R507" s="25"/>
      <c r="S507" s="25"/>
      <c r="T507" s="28" t="str">
        <f aca="false">IF(N507="","",IF(AND(N507="수정",O507&lt;&gt;""),O507,J507))</f>
        <v/>
      </c>
      <c r="U507" s="28" t="str">
        <f aca="false">IF(N507="","",IF(AND(N507="수정",P507&lt;&gt;""),P507,K507))</f>
        <v/>
      </c>
      <c r="V507" s="28" t="str">
        <f aca="false">IF(N507="","",IF(N507="수정",IF(Q507&lt;&gt;"",Q507,IF(OR(U507="명시 없음",U507="유보",U507="절 아님"),"",L507)),L507))</f>
        <v/>
      </c>
    </row>
    <row r="508" customFormat="false" ht="15" hidden="false" customHeight="false" outlineLevel="0" collapsed="false">
      <c r="A508" s="24" t="s">
        <v>200</v>
      </c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5"/>
      <c r="O508" s="25"/>
      <c r="P508" s="25"/>
      <c r="Q508" s="25"/>
      <c r="R508" s="25"/>
      <c r="S508" s="25"/>
      <c r="T508" s="28" t="str">
        <f aca="false">IF(N508="","",IF(AND(N508="수정",O508&lt;&gt;""),O508,J508))</f>
        <v/>
      </c>
      <c r="U508" s="28" t="str">
        <f aca="false">IF(N508="","",IF(AND(N508="수정",P508&lt;&gt;""),P508,K508))</f>
        <v/>
      </c>
      <c r="V508" s="28" t="str">
        <f aca="false">IF(N508="","",IF(N508="수정",IF(Q508&lt;&gt;"",Q508,IF(OR(U508="명시 없음",U508="유보",U508="절 아님"),"",L508)),L508))</f>
        <v/>
      </c>
    </row>
    <row r="509" customFormat="false" ht="15" hidden="false" customHeight="false" outlineLevel="0" collapsed="false">
      <c r="A509" s="24" t="s">
        <v>200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5"/>
      <c r="O509" s="25"/>
      <c r="P509" s="25"/>
      <c r="Q509" s="25"/>
      <c r="R509" s="25"/>
      <c r="S509" s="25"/>
      <c r="T509" s="28" t="str">
        <f aca="false">IF(N509="","",IF(AND(N509="수정",O509&lt;&gt;""),O509,J509))</f>
        <v/>
      </c>
      <c r="U509" s="28" t="str">
        <f aca="false">IF(N509="","",IF(AND(N509="수정",P509&lt;&gt;""),P509,K509))</f>
        <v/>
      </c>
      <c r="V509" s="28" t="str">
        <f aca="false">IF(N509="","",IF(N509="수정",IF(Q509&lt;&gt;"",Q509,IF(OR(U509="명시 없음",U509="유보",U509="절 아님"),"",L509)),L509))</f>
        <v/>
      </c>
    </row>
    <row r="510" customFormat="false" ht="15" hidden="false" customHeight="false" outlineLevel="0" collapsed="false">
      <c r="A510" s="24" t="s">
        <v>200</v>
      </c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5"/>
      <c r="O510" s="25"/>
      <c r="P510" s="25"/>
      <c r="Q510" s="25"/>
      <c r="R510" s="25"/>
      <c r="S510" s="25"/>
      <c r="T510" s="28" t="str">
        <f aca="false">IF(N510="","",IF(AND(N510="수정",O510&lt;&gt;""),O510,J510))</f>
        <v/>
      </c>
      <c r="U510" s="28" t="str">
        <f aca="false">IF(N510="","",IF(AND(N510="수정",P510&lt;&gt;""),P510,K510))</f>
        <v/>
      </c>
      <c r="V510" s="28" t="str">
        <f aca="false">IF(N510="","",IF(N510="수정",IF(Q510&lt;&gt;"",Q510,IF(OR(U510="명시 없음",U510="유보",U510="절 아님"),"",L510)),L510))</f>
        <v/>
      </c>
    </row>
    <row r="511" customFormat="false" ht="15" hidden="false" customHeight="false" outlineLevel="0" collapsed="false">
      <c r="A511" s="24" t="s">
        <v>200</v>
      </c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5"/>
      <c r="O511" s="25"/>
      <c r="P511" s="25"/>
      <c r="Q511" s="25"/>
      <c r="R511" s="25"/>
      <c r="S511" s="25"/>
      <c r="T511" s="28" t="str">
        <f aca="false">IF(N511="","",IF(AND(N511="수정",O511&lt;&gt;""),O511,J511))</f>
        <v/>
      </c>
      <c r="U511" s="28" t="str">
        <f aca="false">IF(N511="","",IF(AND(N511="수정",P511&lt;&gt;""),P511,K511))</f>
        <v/>
      </c>
      <c r="V511" s="28" t="str">
        <f aca="false">IF(N511="","",IF(N511="수정",IF(Q511&lt;&gt;"",Q511,IF(OR(U511="명시 없음",U511="유보",U511="절 아님"),"",L511)),L511))</f>
        <v/>
      </c>
    </row>
    <row r="512" customFormat="false" ht="15" hidden="false" customHeight="false" outlineLevel="0" collapsed="false">
      <c r="A512" s="24" t="s">
        <v>200</v>
      </c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5"/>
      <c r="O512" s="25"/>
      <c r="P512" s="25"/>
      <c r="Q512" s="25"/>
      <c r="R512" s="25"/>
      <c r="S512" s="25"/>
      <c r="T512" s="28" t="str">
        <f aca="false">IF(N512="","",IF(AND(N512="수정",O512&lt;&gt;""),O512,J512))</f>
        <v/>
      </c>
      <c r="U512" s="28" t="str">
        <f aca="false">IF(N512="","",IF(AND(N512="수정",P512&lt;&gt;""),P512,K512))</f>
        <v/>
      </c>
      <c r="V512" s="28" t="str">
        <f aca="false">IF(N512="","",IF(N512="수정",IF(Q512&lt;&gt;"",Q512,IF(OR(U512="명시 없음",U512="유보",U512="절 아님"),"",L512)),L512))</f>
        <v/>
      </c>
    </row>
    <row r="513" customFormat="false" ht="15" hidden="false" customHeight="false" outlineLevel="0" collapsed="false">
      <c r="A513" s="24" t="s">
        <v>200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5"/>
      <c r="O513" s="25"/>
      <c r="P513" s="25"/>
      <c r="Q513" s="25"/>
      <c r="R513" s="25"/>
      <c r="S513" s="25"/>
      <c r="T513" s="28" t="str">
        <f aca="false">IF(N513="","",IF(AND(N513="수정",O513&lt;&gt;""),O513,J513))</f>
        <v/>
      </c>
      <c r="U513" s="28" t="str">
        <f aca="false">IF(N513="","",IF(AND(N513="수정",P513&lt;&gt;""),P513,K513))</f>
        <v/>
      </c>
      <c r="V513" s="28" t="str">
        <f aca="false">IF(N513="","",IF(N513="수정",IF(Q513&lt;&gt;"",Q513,IF(OR(U513="명시 없음",U513="유보",U513="절 아님"),"",L513)),L513))</f>
        <v/>
      </c>
    </row>
    <row r="514" customFormat="false" ht="15" hidden="false" customHeight="false" outlineLevel="0" collapsed="false">
      <c r="A514" s="24" t="s">
        <v>200</v>
      </c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5"/>
      <c r="O514" s="25"/>
      <c r="P514" s="25"/>
      <c r="Q514" s="25"/>
      <c r="R514" s="25"/>
      <c r="S514" s="25"/>
      <c r="T514" s="28" t="str">
        <f aca="false">IF(N514="","",IF(AND(N514="수정",O514&lt;&gt;""),O514,J514))</f>
        <v/>
      </c>
      <c r="U514" s="28" t="str">
        <f aca="false">IF(N514="","",IF(AND(N514="수정",P514&lt;&gt;""),P514,K514))</f>
        <v/>
      </c>
      <c r="V514" s="28" t="str">
        <f aca="false">IF(N514="","",IF(N514="수정",IF(Q514&lt;&gt;"",Q514,IF(OR(U514="명시 없음",U514="유보",U514="절 아님"),"",L514)),L514))</f>
        <v/>
      </c>
    </row>
    <row r="515" customFormat="false" ht="15" hidden="false" customHeight="false" outlineLevel="0" collapsed="false">
      <c r="A515" s="24" t="s">
        <v>200</v>
      </c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5"/>
      <c r="O515" s="25"/>
      <c r="P515" s="25"/>
      <c r="Q515" s="25"/>
      <c r="R515" s="25"/>
      <c r="S515" s="25"/>
      <c r="T515" s="28" t="str">
        <f aca="false">IF(N515="","",IF(AND(N515="수정",O515&lt;&gt;""),O515,J515))</f>
        <v/>
      </c>
      <c r="U515" s="28" t="str">
        <f aca="false">IF(N515="","",IF(AND(N515="수정",P515&lt;&gt;""),P515,K515))</f>
        <v/>
      </c>
      <c r="V515" s="28" t="str">
        <f aca="false">IF(N515="","",IF(N515="수정",IF(Q515&lt;&gt;"",Q515,IF(OR(U515="명시 없음",U515="유보",U515="절 아님"),"",L515)),L515))</f>
        <v/>
      </c>
    </row>
    <row r="516" customFormat="false" ht="15" hidden="false" customHeight="false" outlineLevel="0" collapsed="false">
      <c r="A516" s="24" t="s">
        <v>200</v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5"/>
      <c r="O516" s="25"/>
      <c r="P516" s="25"/>
      <c r="Q516" s="25"/>
      <c r="R516" s="25"/>
      <c r="S516" s="25"/>
      <c r="T516" s="28" t="str">
        <f aca="false">IF(N516="","",IF(AND(N516="수정",O516&lt;&gt;""),O516,J516))</f>
        <v/>
      </c>
      <c r="U516" s="28" t="str">
        <f aca="false">IF(N516="","",IF(AND(N516="수정",P516&lt;&gt;""),P516,K516))</f>
        <v/>
      </c>
      <c r="V516" s="28" t="str">
        <f aca="false">IF(N516="","",IF(N516="수정",IF(Q516&lt;&gt;"",Q516,IF(OR(U516="명시 없음",U516="유보",U516="절 아님"),"",L516)),L516))</f>
        <v/>
      </c>
    </row>
    <row r="517" customFormat="false" ht="15" hidden="false" customHeight="false" outlineLevel="0" collapsed="false">
      <c r="A517" s="24" t="s">
        <v>200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5"/>
      <c r="O517" s="25"/>
      <c r="P517" s="25"/>
      <c r="Q517" s="25"/>
      <c r="R517" s="25"/>
      <c r="S517" s="25"/>
      <c r="T517" s="28" t="str">
        <f aca="false">IF(N517="","",IF(AND(N517="수정",O517&lt;&gt;""),O517,J517))</f>
        <v/>
      </c>
      <c r="U517" s="28" t="str">
        <f aca="false">IF(N517="","",IF(AND(N517="수정",P517&lt;&gt;""),P517,K517))</f>
        <v/>
      </c>
      <c r="V517" s="28" t="str">
        <f aca="false">IF(N517="","",IF(N517="수정",IF(Q517&lt;&gt;"",Q517,IF(OR(U517="명시 없음",U517="유보",U517="절 아님"),"",L517)),L517))</f>
        <v/>
      </c>
    </row>
    <row r="518" customFormat="false" ht="15" hidden="false" customHeight="false" outlineLevel="0" collapsed="false">
      <c r="A518" s="24" t="s">
        <v>200</v>
      </c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5"/>
      <c r="O518" s="25"/>
      <c r="P518" s="25"/>
      <c r="Q518" s="25"/>
      <c r="R518" s="25"/>
      <c r="S518" s="25"/>
      <c r="T518" s="28" t="str">
        <f aca="false">IF(N518="","",IF(AND(N518="수정",O518&lt;&gt;""),O518,J518))</f>
        <v/>
      </c>
      <c r="U518" s="28" t="str">
        <f aca="false">IF(N518="","",IF(AND(N518="수정",P518&lt;&gt;""),P518,K518))</f>
        <v/>
      </c>
      <c r="V518" s="28" t="str">
        <f aca="false">IF(N518="","",IF(N518="수정",IF(Q518&lt;&gt;"",Q518,IF(OR(U518="명시 없음",U518="유보",U518="절 아님"),"",L518)),L518))</f>
        <v/>
      </c>
    </row>
    <row r="519" customFormat="false" ht="15" hidden="false" customHeight="false" outlineLevel="0" collapsed="false">
      <c r="A519" s="24" t="s">
        <v>200</v>
      </c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5"/>
      <c r="O519" s="25"/>
      <c r="P519" s="25"/>
      <c r="Q519" s="25"/>
      <c r="R519" s="25"/>
      <c r="S519" s="25"/>
      <c r="T519" s="28" t="str">
        <f aca="false">IF(N519="","",IF(AND(N519="수정",O519&lt;&gt;""),O519,J519))</f>
        <v/>
      </c>
      <c r="U519" s="28" t="str">
        <f aca="false">IF(N519="","",IF(AND(N519="수정",P519&lt;&gt;""),P519,K519))</f>
        <v/>
      </c>
      <c r="V519" s="28" t="str">
        <f aca="false">IF(N519="","",IF(N519="수정",IF(Q519&lt;&gt;"",Q519,IF(OR(U519="명시 없음",U519="유보",U519="절 아님"),"",L519)),L519))</f>
        <v/>
      </c>
    </row>
    <row r="520" customFormat="false" ht="15" hidden="false" customHeight="false" outlineLevel="0" collapsed="false">
      <c r="A520" s="24" t="s">
        <v>200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5"/>
      <c r="O520" s="25"/>
      <c r="P520" s="25"/>
      <c r="Q520" s="25"/>
      <c r="R520" s="25"/>
      <c r="S520" s="25"/>
      <c r="T520" s="28" t="str">
        <f aca="false">IF(N520="","",IF(AND(N520="수정",O520&lt;&gt;""),O520,J520))</f>
        <v/>
      </c>
      <c r="U520" s="28" t="str">
        <f aca="false">IF(N520="","",IF(AND(N520="수정",P520&lt;&gt;""),P520,K520))</f>
        <v/>
      </c>
      <c r="V520" s="28" t="str">
        <f aca="false">IF(N520="","",IF(N520="수정",IF(Q520&lt;&gt;"",Q520,IF(OR(U520="명시 없음",U520="유보",U520="절 아님"),"",L520)),L520))</f>
        <v/>
      </c>
    </row>
    <row r="521" customFormat="false" ht="15" hidden="false" customHeight="false" outlineLevel="0" collapsed="false">
      <c r="A521" s="24" t="s">
        <v>200</v>
      </c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5"/>
      <c r="O521" s="25"/>
      <c r="P521" s="25"/>
      <c r="Q521" s="25"/>
      <c r="R521" s="25"/>
      <c r="S521" s="25"/>
      <c r="T521" s="28" t="str">
        <f aca="false">IF(N521="","",IF(AND(N521="수정",O521&lt;&gt;""),O521,J521))</f>
        <v/>
      </c>
      <c r="U521" s="28" t="str">
        <f aca="false">IF(N521="","",IF(AND(N521="수정",P521&lt;&gt;""),P521,K521))</f>
        <v/>
      </c>
      <c r="V521" s="28" t="str">
        <f aca="false">IF(N521="","",IF(N521="수정",IF(Q521&lt;&gt;"",Q521,IF(OR(U521="명시 없음",U521="유보",U521="절 아님"),"",L521)),L521))</f>
        <v/>
      </c>
    </row>
    <row r="522" customFormat="false" ht="15" hidden="false" customHeight="false" outlineLevel="0" collapsed="false">
      <c r="A522" s="24" t="s">
        <v>200</v>
      </c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5"/>
      <c r="O522" s="25"/>
      <c r="P522" s="25"/>
      <c r="Q522" s="25"/>
      <c r="R522" s="25"/>
      <c r="S522" s="25"/>
      <c r="T522" s="28" t="str">
        <f aca="false">IF(N522="","",IF(AND(N522="수정",O522&lt;&gt;""),O522,J522))</f>
        <v/>
      </c>
      <c r="U522" s="28" t="str">
        <f aca="false">IF(N522="","",IF(AND(N522="수정",P522&lt;&gt;""),P522,K522))</f>
        <v/>
      </c>
      <c r="V522" s="28" t="str">
        <f aca="false">IF(N522="","",IF(N522="수정",IF(Q522&lt;&gt;"",Q522,IF(OR(U522="명시 없음",U522="유보",U522="절 아님"),"",L522)),L522))</f>
        <v/>
      </c>
    </row>
    <row r="523" customFormat="false" ht="15" hidden="false" customHeight="false" outlineLevel="0" collapsed="false">
      <c r="A523" s="24" t="s">
        <v>200</v>
      </c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5"/>
      <c r="O523" s="25"/>
      <c r="P523" s="25"/>
      <c r="Q523" s="25"/>
      <c r="R523" s="25"/>
      <c r="S523" s="25"/>
      <c r="T523" s="28" t="str">
        <f aca="false">IF(N523="","",IF(AND(N523="수정",O523&lt;&gt;""),O523,J523))</f>
        <v/>
      </c>
      <c r="U523" s="28" t="str">
        <f aca="false">IF(N523="","",IF(AND(N523="수정",P523&lt;&gt;""),P523,K523))</f>
        <v/>
      </c>
      <c r="V523" s="28" t="str">
        <f aca="false">IF(N523="","",IF(N523="수정",IF(Q523&lt;&gt;"",Q523,IF(OR(U523="명시 없음",U523="유보",U523="절 아님"),"",L523)),L523))</f>
        <v/>
      </c>
    </row>
    <row r="524" customFormat="false" ht="15" hidden="false" customHeight="false" outlineLevel="0" collapsed="false">
      <c r="A524" s="24" t="s">
        <v>200</v>
      </c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5"/>
      <c r="O524" s="25"/>
      <c r="P524" s="25"/>
      <c r="Q524" s="25"/>
      <c r="R524" s="25"/>
      <c r="S524" s="25"/>
      <c r="T524" s="28" t="str">
        <f aca="false">IF(N524="","",IF(AND(N524="수정",O524&lt;&gt;""),O524,J524))</f>
        <v/>
      </c>
      <c r="U524" s="28" t="str">
        <f aca="false">IF(N524="","",IF(AND(N524="수정",P524&lt;&gt;""),P524,K524))</f>
        <v/>
      </c>
      <c r="V524" s="28" t="str">
        <f aca="false">IF(N524="","",IF(N524="수정",IF(Q524&lt;&gt;"",Q524,IF(OR(U524="명시 없음",U524="유보",U524="절 아님"),"",L524)),L524))</f>
        <v/>
      </c>
    </row>
    <row r="525" customFormat="false" ht="15" hidden="false" customHeight="false" outlineLevel="0" collapsed="false">
      <c r="A525" s="24" t="s">
        <v>200</v>
      </c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5"/>
      <c r="O525" s="25"/>
      <c r="P525" s="25"/>
      <c r="Q525" s="25"/>
      <c r="R525" s="25"/>
      <c r="S525" s="25"/>
      <c r="T525" s="28" t="str">
        <f aca="false">IF(N525="","",IF(AND(N525="수정",O525&lt;&gt;""),O525,J525))</f>
        <v/>
      </c>
      <c r="U525" s="28" t="str">
        <f aca="false">IF(N525="","",IF(AND(N525="수정",P525&lt;&gt;""),P525,K525))</f>
        <v/>
      </c>
      <c r="V525" s="28" t="str">
        <f aca="false">IF(N525="","",IF(N525="수정",IF(Q525&lt;&gt;"",Q525,IF(OR(U525="명시 없음",U525="유보",U525="절 아님"),"",L525)),L525))</f>
        <v/>
      </c>
    </row>
    <row r="526" customFormat="false" ht="15" hidden="false" customHeight="false" outlineLevel="0" collapsed="false">
      <c r="A526" s="24" t="s">
        <v>200</v>
      </c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5"/>
      <c r="O526" s="25"/>
      <c r="P526" s="25"/>
      <c r="Q526" s="25"/>
      <c r="R526" s="25"/>
      <c r="S526" s="25"/>
      <c r="T526" s="28" t="str">
        <f aca="false">IF(N526="","",IF(AND(N526="수정",O526&lt;&gt;""),O526,J526))</f>
        <v/>
      </c>
      <c r="U526" s="28" t="str">
        <f aca="false">IF(N526="","",IF(AND(N526="수정",P526&lt;&gt;""),P526,K526))</f>
        <v/>
      </c>
      <c r="V526" s="28" t="str">
        <f aca="false">IF(N526="","",IF(N526="수정",IF(Q526&lt;&gt;"",Q526,IF(OR(U526="명시 없음",U526="유보",U526="절 아님"),"",L526)),L526))</f>
        <v/>
      </c>
    </row>
    <row r="527" customFormat="false" ht="15" hidden="false" customHeight="false" outlineLevel="0" collapsed="false">
      <c r="A527" s="24" t="s">
        <v>200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5"/>
      <c r="O527" s="25"/>
      <c r="P527" s="25"/>
      <c r="Q527" s="25"/>
      <c r="R527" s="25"/>
      <c r="S527" s="25"/>
      <c r="T527" s="28" t="str">
        <f aca="false">IF(N527="","",IF(AND(N527="수정",O527&lt;&gt;""),O527,J527))</f>
        <v/>
      </c>
      <c r="U527" s="28" t="str">
        <f aca="false">IF(N527="","",IF(AND(N527="수정",P527&lt;&gt;""),P527,K527))</f>
        <v/>
      </c>
      <c r="V527" s="28" t="str">
        <f aca="false">IF(N527="","",IF(N527="수정",IF(Q527&lt;&gt;"",Q527,IF(OR(U527="명시 없음",U527="유보",U527="절 아님"),"",L527)),L527))</f>
        <v/>
      </c>
    </row>
    <row r="528" customFormat="false" ht="15" hidden="false" customHeight="false" outlineLevel="0" collapsed="false">
      <c r="A528" s="24" t="s">
        <v>200</v>
      </c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5"/>
      <c r="O528" s="25"/>
      <c r="P528" s="25"/>
      <c r="Q528" s="25"/>
      <c r="R528" s="25"/>
      <c r="S528" s="25"/>
      <c r="T528" s="28" t="str">
        <f aca="false">IF(N528="","",IF(AND(N528="수정",O528&lt;&gt;""),O528,J528))</f>
        <v/>
      </c>
      <c r="U528" s="28" t="str">
        <f aca="false">IF(N528="","",IF(AND(N528="수정",P528&lt;&gt;""),P528,K528))</f>
        <v/>
      </c>
      <c r="V528" s="28" t="str">
        <f aca="false">IF(N528="","",IF(N528="수정",IF(Q528&lt;&gt;"",Q528,IF(OR(U528="명시 없음",U528="유보",U528="절 아님"),"",L528)),L528))</f>
        <v/>
      </c>
    </row>
    <row r="529" customFormat="false" ht="15" hidden="false" customHeight="false" outlineLevel="0" collapsed="false">
      <c r="A529" s="24" t="s">
        <v>200</v>
      </c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5"/>
      <c r="O529" s="25"/>
      <c r="P529" s="25"/>
      <c r="Q529" s="25"/>
      <c r="R529" s="25"/>
      <c r="S529" s="25"/>
      <c r="T529" s="28" t="str">
        <f aca="false">IF(N529="","",IF(AND(N529="수정",O529&lt;&gt;""),O529,J529))</f>
        <v/>
      </c>
      <c r="U529" s="28" t="str">
        <f aca="false">IF(N529="","",IF(AND(N529="수정",P529&lt;&gt;""),P529,K529))</f>
        <v/>
      </c>
      <c r="V529" s="28" t="str">
        <f aca="false">IF(N529="","",IF(N529="수정",IF(Q529&lt;&gt;"",Q529,IF(OR(U529="명시 없음",U529="유보",U529="절 아님"),"",L529)),L529))</f>
        <v/>
      </c>
    </row>
    <row r="530" customFormat="false" ht="15" hidden="false" customHeight="false" outlineLevel="0" collapsed="false">
      <c r="A530" s="24" t="s">
        <v>200</v>
      </c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5"/>
      <c r="O530" s="25"/>
      <c r="P530" s="25"/>
      <c r="Q530" s="25"/>
      <c r="R530" s="25"/>
      <c r="S530" s="25"/>
      <c r="T530" s="28" t="str">
        <f aca="false">IF(N530="","",IF(AND(N530="수정",O530&lt;&gt;""),O530,J530))</f>
        <v/>
      </c>
      <c r="U530" s="28" t="str">
        <f aca="false">IF(N530="","",IF(AND(N530="수정",P530&lt;&gt;""),P530,K530))</f>
        <v/>
      </c>
      <c r="V530" s="28" t="str">
        <f aca="false">IF(N530="","",IF(N530="수정",IF(Q530&lt;&gt;"",Q530,IF(OR(U530="명시 없음",U530="유보",U530="절 아님"),"",L530)),L530))</f>
        <v/>
      </c>
    </row>
    <row r="531" customFormat="false" ht="15" hidden="false" customHeight="false" outlineLevel="0" collapsed="false">
      <c r="A531" s="24" t="s">
        <v>200</v>
      </c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5"/>
      <c r="O531" s="25"/>
      <c r="P531" s="25"/>
      <c r="Q531" s="25"/>
      <c r="R531" s="25"/>
      <c r="S531" s="25"/>
      <c r="T531" s="28" t="str">
        <f aca="false">IF(N531="","",IF(AND(N531="수정",O531&lt;&gt;""),O531,J531))</f>
        <v/>
      </c>
      <c r="U531" s="28" t="str">
        <f aca="false">IF(N531="","",IF(AND(N531="수정",P531&lt;&gt;""),P531,K531))</f>
        <v/>
      </c>
      <c r="V531" s="28" t="str">
        <f aca="false">IF(N531="","",IF(N531="수정",IF(Q531&lt;&gt;"",Q531,IF(OR(U531="명시 없음",U531="유보",U531="절 아님"),"",L531)),L531))</f>
        <v/>
      </c>
    </row>
    <row r="532" customFormat="false" ht="15" hidden="false" customHeight="false" outlineLevel="0" collapsed="false">
      <c r="A532" s="24" t="s">
        <v>200</v>
      </c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5"/>
      <c r="O532" s="25"/>
      <c r="P532" s="25"/>
      <c r="Q532" s="25"/>
      <c r="R532" s="25"/>
      <c r="S532" s="25"/>
      <c r="T532" s="28" t="str">
        <f aca="false">IF(N532="","",IF(AND(N532="수정",O532&lt;&gt;""),O532,J532))</f>
        <v/>
      </c>
      <c r="U532" s="28" t="str">
        <f aca="false">IF(N532="","",IF(AND(N532="수정",P532&lt;&gt;""),P532,K532))</f>
        <v/>
      </c>
      <c r="V532" s="28" t="str">
        <f aca="false">IF(N532="","",IF(N532="수정",IF(Q532&lt;&gt;"",Q532,IF(OR(U532="명시 없음",U532="유보",U532="절 아님"),"",L532)),L532))</f>
        <v/>
      </c>
    </row>
    <row r="533" customFormat="false" ht="15" hidden="false" customHeight="false" outlineLevel="0" collapsed="false">
      <c r="A533" s="24" t="s">
        <v>200</v>
      </c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5"/>
      <c r="O533" s="25"/>
      <c r="P533" s="25"/>
      <c r="Q533" s="25"/>
      <c r="R533" s="25"/>
      <c r="S533" s="25"/>
      <c r="T533" s="28" t="str">
        <f aca="false">IF(N533="","",IF(AND(N533="수정",O533&lt;&gt;""),O533,J533))</f>
        <v/>
      </c>
      <c r="U533" s="28" t="str">
        <f aca="false">IF(N533="","",IF(AND(N533="수정",P533&lt;&gt;""),P533,K533))</f>
        <v/>
      </c>
      <c r="V533" s="28" t="str">
        <f aca="false">IF(N533="","",IF(N533="수정",IF(Q533&lt;&gt;"",Q533,IF(OR(U533="명시 없음",U533="유보",U533="절 아님"),"",L533)),L533))</f>
        <v/>
      </c>
    </row>
    <row r="534" customFormat="false" ht="15" hidden="false" customHeight="false" outlineLevel="0" collapsed="false">
      <c r="A534" s="24" t="s">
        <v>200</v>
      </c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5"/>
      <c r="O534" s="25"/>
      <c r="P534" s="25"/>
      <c r="Q534" s="25"/>
      <c r="R534" s="25"/>
      <c r="S534" s="25"/>
      <c r="T534" s="28" t="str">
        <f aca="false">IF(N534="","",IF(AND(N534="수정",O534&lt;&gt;""),O534,J534))</f>
        <v/>
      </c>
      <c r="U534" s="28" t="str">
        <f aca="false">IF(N534="","",IF(AND(N534="수정",P534&lt;&gt;""),P534,K534))</f>
        <v/>
      </c>
      <c r="V534" s="28" t="str">
        <f aca="false">IF(N534="","",IF(N534="수정",IF(Q534&lt;&gt;"",Q534,IF(OR(U534="명시 없음",U534="유보",U534="절 아님"),"",L534)),L534))</f>
        <v/>
      </c>
    </row>
    <row r="535" customFormat="false" ht="15" hidden="false" customHeight="false" outlineLevel="0" collapsed="false">
      <c r="A535" s="24" t="s">
        <v>200</v>
      </c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5"/>
      <c r="O535" s="25"/>
      <c r="P535" s="25"/>
      <c r="Q535" s="25"/>
      <c r="R535" s="25"/>
      <c r="S535" s="25"/>
      <c r="T535" s="28" t="str">
        <f aca="false">IF(N535="","",IF(AND(N535="수정",O535&lt;&gt;""),O535,J535))</f>
        <v/>
      </c>
      <c r="U535" s="28" t="str">
        <f aca="false">IF(N535="","",IF(AND(N535="수정",P535&lt;&gt;""),P535,K535))</f>
        <v/>
      </c>
      <c r="V535" s="28" t="str">
        <f aca="false">IF(N535="","",IF(N535="수정",IF(Q535&lt;&gt;"",Q535,IF(OR(U535="명시 없음",U535="유보",U535="절 아님"),"",L535)),L535))</f>
        <v/>
      </c>
    </row>
    <row r="536" customFormat="false" ht="15" hidden="false" customHeight="false" outlineLevel="0" collapsed="false">
      <c r="A536" s="24" t="s">
        <v>200</v>
      </c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5"/>
      <c r="O536" s="25"/>
      <c r="P536" s="25"/>
      <c r="Q536" s="25"/>
      <c r="R536" s="25"/>
      <c r="S536" s="25"/>
      <c r="T536" s="28" t="str">
        <f aca="false">IF(N536="","",IF(AND(N536="수정",O536&lt;&gt;""),O536,J536))</f>
        <v/>
      </c>
      <c r="U536" s="28" t="str">
        <f aca="false">IF(N536="","",IF(AND(N536="수정",P536&lt;&gt;""),P536,K536))</f>
        <v/>
      </c>
      <c r="V536" s="28" t="str">
        <f aca="false">IF(N536="","",IF(N536="수정",IF(Q536&lt;&gt;"",Q536,IF(OR(U536="명시 없음",U536="유보",U536="절 아님"),"",L536)),L536))</f>
        <v/>
      </c>
    </row>
    <row r="537" customFormat="false" ht="15" hidden="false" customHeight="false" outlineLevel="0" collapsed="false">
      <c r="A537" s="24" t="s">
        <v>200</v>
      </c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5"/>
      <c r="O537" s="25"/>
      <c r="P537" s="25"/>
      <c r="Q537" s="25"/>
      <c r="R537" s="25"/>
      <c r="S537" s="25"/>
      <c r="T537" s="28" t="str">
        <f aca="false">IF(N537="","",IF(AND(N537="수정",O537&lt;&gt;""),O537,J537))</f>
        <v/>
      </c>
      <c r="U537" s="28" t="str">
        <f aca="false">IF(N537="","",IF(AND(N537="수정",P537&lt;&gt;""),P537,K537))</f>
        <v/>
      </c>
      <c r="V537" s="28" t="str">
        <f aca="false">IF(N537="","",IF(N537="수정",IF(Q537&lt;&gt;"",Q537,IF(OR(U537="명시 없음",U537="유보",U537="절 아님"),"",L537)),L537))</f>
        <v/>
      </c>
    </row>
    <row r="538" customFormat="false" ht="15" hidden="false" customHeight="false" outlineLevel="0" collapsed="false">
      <c r="A538" s="24" t="s">
        <v>200</v>
      </c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5"/>
      <c r="O538" s="25"/>
      <c r="P538" s="25"/>
      <c r="Q538" s="25"/>
      <c r="R538" s="25"/>
      <c r="S538" s="25"/>
      <c r="T538" s="28" t="str">
        <f aca="false">IF(N538="","",IF(AND(N538="수정",O538&lt;&gt;""),O538,J538))</f>
        <v/>
      </c>
      <c r="U538" s="28" t="str">
        <f aca="false">IF(N538="","",IF(AND(N538="수정",P538&lt;&gt;""),P538,K538))</f>
        <v/>
      </c>
      <c r="V538" s="28" t="str">
        <f aca="false">IF(N538="","",IF(N538="수정",IF(Q538&lt;&gt;"",Q538,IF(OR(U538="명시 없음",U538="유보",U538="절 아님"),"",L538)),L538))</f>
        <v/>
      </c>
    </row>
    <row r="539" customFormat="false" ht="15" hidden="false" customHeight="false" outlineLevel="0" collapsed="false">
      <c r="A539" s="24" t="s">
        <v>200</v>
      </c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5"/>
      <c r="O539" s="25"/>
      <c r="P539" s="25"/>
      <c r="Q539" s="25"/>
      <c r="R539" s="25"/>
      <c r="S539" s="25"/>
      <c r="T539" s="28" t="str">
        <f aca="false">IF(N539="","",IF(AND(N539="수정",O539&lt;&gt;""),O539,J539))</f>
        <v/>
      </c>
      <c r="U539" s="28" t="str">
        <f aca="false">IF(N539="","",IF(AND(N539="수정",P539&lt;&gt;""),P539,K539))</f>
        <v/>
      </c>
      <c r="V539" s="28" t="str">
        <f aca="false">IF(N539="","",IF(N539="수정",IF(Q539&lt;&gt;"",Q539,IF(OR(U539="명시 없음",U539="유보",U539="절 아님"),"",L539)),L539))</f>
        <v/>
      </c>
    </row>
    <row r="540" customFormat="false" ht="15" hidden="false" customHeight="false" outlineLevel="0" collapsed="false">
      <c r="A540" s="24" t="s">
        <v>200</v>
      </c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5"/>
      <c r="O540" s="25"/>
      <c r="P540" s="25"/>
      <c r="Q540" s="25"/>
      <c r="R540" s="25"/>
      <c r="S540" s="25"/>
      <c r="T540" s="28" t="str">
        <f aca="false">IF(N540="","",IF(AND(N540="수정",O540&lt;&gt;""),O540,J540))</f>
        <v/>
      </c>
      <c r="U540" s="28" t="str">
        <f aca="false">IF(N540="","",IF(AND(N540="수정",P540&lt;&gt;""),P540,K540))</f>
        <v/>
      </c>
      <c r="V540" s="28" t="str">
        <f aca="false">IF(N540="","",IF(N540="수정",IF(Q540&lt;&gt;"",Q540,IF(OR(U540="명시 없음",U540="유보",U540="절 아님"),"",L540)),L540))</f>
        <v/>
      </c>
    </row>
    <row r="541" customFormat="false" ht="15" hidden="false" customHeight="false" outlineLevel="0" collapsed="false">
      <c r="A541" s="24" t="s">
        <v>200</v>
      </c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5"/>
      <c r="O541" s="25"/>
      <c r="P541" s="25"/>
      <c r="Q541" s="25"/>
      <c r="R541" s="25"/>
      <c r="S541" s="25"/>
      <c r="T541" s="28" t="str">
        <f aca="false">IF(N541="","",IF(AND(N541="수정",O541&lt;&gt;""),O541,J541))</f>
        <v/>
      </c>
      <c r="U541" s="28" t="str">
        <f aca="false">IF(N541="","",IF(AND(N541="수정",P541&lt;&gt;""),P541,K541))</f>
        <v/>
      </c>
      <c r="V541" s="28" t="str">
        <f aca="false">IF(N541="","",IF(N541="수정",IF(Q541&lt;&gt;"",Q541,IF(OR(U541="명시 없음",U541="유보",U541="절 아님"),"",L541)),L541))</f>
        <v/>
      </c>
    </row>
    <row r="542" customFormat="false" ht="15" hidden="false" customHeight="false" outlineLevel="0" collapsed="false">
      <c r="A542" s="24" t="s">
        <v>200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5"/>
      <c r="O542" s="25"/>
      <c r="P542" s="25"/>
      <c r="Q542" s="25"/>
      <c r="R542" s="25"/>
      <c r="S542" s="25"/>
      <c r="T542" s="28" t="str">
        <f aca="false">IF(N542="","",IF(AND(N542="수정",O542&lt;&gt;""),O542,J542))</f>
        <v/>
      </c>
      <c r="U542" s="28" t="str">
        <f aca="false">IF(N542="","",IF(AND(N542="수정",P542&lt;&gt;""),P542,K542))</f>
        <v/>
      </c>
      <c r="V542" s="28" t="str">
        <f aca="false">IF(N542="","",IF(N542="수정",IF(Q542&lt;&gt;"",Q542,IF(OR(U542="명시 없음",U542="유보",U542="절 아님"),"",L542)),L542))</f>
        <v/>
      </c>
    </row>
    <row r="543" customFormat="false" ht="15" hidden="false" customHeight="false" outlineLevel="0" collapsed="false">
      <c r="A543" s="24" t="s">
        <v>200</v>
      </c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5"/>
      <c r="O543" s="25"/>
      <c r="P543" s="25"/>
      <c r="Q543" s="25"/>
      <c r="R543" s="25"/>
      <c r="S543" s="25"/>
      <c r="T543" s="28" t="str">
        <f aca="false">IF(N543="","",IF(AND(N543="수정",O543&lt;&gt;""),O543,J543))</f>
        <v/>
      </c>
      <c r="U543" s="28" t="str">
        <f aca="false">IF(N543="","",IF(AND(N543="수정",P543&lt;&gt;""),P543,K543))</f>
        <v/>
      </c>
      <c r="V543" s="28" t="str">
        <f aca="false">IF(N543="","",IF(N543="수정",IF(Q543&lt;&gt;"",Q543,IF(OR(U543="명시 없음",U543="유보",U543="절 아님"),"",L543)),L543))</f>
        <v/>
      </c>
    </row>
    <row r="544" customFormat="false" ht="15" hidden="false" customHeight="false" outlineLevel="0" collapsed="false">
      <c r="A544" s="24" t="s">
        <v>200</v>
      </c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5"/>
      <c r="O544" s="25"/>
      <c r="P544" s="25"/>
      <c r="Q544" s="25"/>
      <c r="R544" s="25"/>
      <c r="S544" s="25"/>
      <c r="T544" s="28" t="str">
        <f aca="false">IF(N544="","",IF(AND(N544="수정",O544&lt;&gt;""),O544,J544))</f>
        <v/>
      </c>
      <c r="U544" s="28" t="str">
        <f aca="false">IF(N544="","",IF(AND(N544="수정",P544&lt;&gt;""),P544,K544))</f>
        <v/>
      </c>
      <c r="V544" s="28" t="str">
        <f aca="false">IF(N544="","",IF(N544="수정",IF(Q544&lt;&gt;"",Q544,IF(OR(U544="명시 없음",U544="유보",U544="절 아님"),"",L544)),L544))</f>
        <v/>
      </c>
    </row>
    <row r="545" customFormat="false" ht="15" hidden="false" customHeight="false" outlineLevel="0" collapsed="false">
      <c r="A545" s="24" t="s">
        <v>200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5"/>
      <c r="O545" s="25"/>
      <c r="P545" s="25"/>
      <c r="Q545" s="25"/>
      <c r="R545" s="25"/>
      <c r="S545" s="25"/>
      <c r="T545" s="28" t="str">
        <f aca="false">IF(N545="","",IF(AND(N545="수정",O545&lt;&gt;""),O545,J545))</f>
        <v/>
      </c>
      <c r="U545" s="28" t="str">
        <f aca="false">IF(N545="","",IF(AND(N545="수정",P545&lt;&gt;""),P545,K545))</f>
        <v/>
      </c>
      <c r="V545" s="28" t="str">
        <f aca="false">IF(N545="","",IF(N545="수정",IF(Q545&lt;&gt;"",Q545,IF(OR(U545="명시 없음",U545="유보",U545="절 아님"),"",L545)),L545))</f>
        <v/>
      </c>
    </row>
    <row r="546" customFormat="false" ht="15" hidden="false" customHeight="false" outlineLevel="0" collapsed="false">
      <c r="A546" s="24" t="s">
        <v>200</v>
      </c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5"/>
      <c r="O546" s="25"/>
      <c r="P546" s="25"/>
      <c r="Q546" s="25"/>
      <c r="R546" s="25"/>
      <c r="S546" s="25"/>
      <c r="T546" s="28" t="str">
        <f aca="false">IF(N546="","",IF(AND(N546="수정",O546&lt;&gt;""),O546,J546))</f>
        <v/>
      </c>
      <c r="U546" s="28" t="str">
        <f aca="false">IF(N546="","",IF(AND(N546="수정",P546&lt;&gt;""),P546,K546))</f>
        <v/>
      </c>
      <c r="V546" s="28" t="str">
        <f aca="false">IF(N546="","",IF(N546="수정",IF(Q546&lt;&gt;"",Q546,IF(OR(U546="명시 없음",U546="유보",U546="절 아님"),"",L546)),L546))</f>
        <v/>
      </c>
    </row>
    <row r="547" customFormat="false" ht="15" hidden="false" customHeight="false" outlineLevel="0" collapsed="false">
      <c r="A547" s="24" t="s">
        <v>200</v>
      </c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5"/>
      <c r="O547" s="25"/>
      <c r="P547" s="25"/>
      <c r="Q547" s="25"/>
      <c r="R547" s="25"/>
      <c r="S547" s="25"/>
      <c r="T547" s="28" t="str">
        <f aca="false">IF(N547="","",IF(AND(N547="수정",O547&lt;&gt;""),O547,J547))</f>
        <v/>
      </c>
      <c r="U547" s="28" t="str">
        <f aca="false">IF(N547="","",IF(AND(N547="수정",P547&lt;&gt;""),P547,K547))</f>
        <v/>
      </c>
      <c r="V547" s="28" t="str">
        <f aca="false">IF(N547="","",IF(N547="수정",IF(Q547&lt;&gt;"",Q547,IF(OR(U547="명시 없음",U547="유보",U547="절 아님"),"",L547)),L547))</f>
        <v/>
      </c>
    </row>
    <row r="548" customFormat="false" ht="15" hidden="false" customHeight="false" outlineLevel="0" collapsed="false">
      <c r="A548" s="24" t="s">
        <v>200</v>
      </c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5"/>
      <c r="O548" s="25"/>
      <c r="P548" s="25"/>
      <c r="Q548" s="25"/>
      <c r="R548" s="25"/>
      <c r="S548" s="25"/>
      <c r="T548" s="28" t="str">
        <f aca="false">IF(N548="","",IF(AND(N548="수정",O548&lt;&gt;""),O548,J548))</f>
        <v/>
      </c>
      <c r="U548" s="28" t="str">
        <f aca="false">IF(N548="","",IF(AND(N548="수정",P548&lt;&gt;""),P548,K548))</f>
        <v/>
      </c>
      <c r="V548" s="28" t="str">
        <f aca="false">IF(N548="","",IF(N548="수정",IF(Q548&lt;&gt;"",Q548,IF(OR(U548="명시 없음",U548="유보",U548="절 아님"),"",L548)),L548))</f>
        <v/>
      </c>
    </row>
    <row r="549" customFormat="false" ht="15" hidden="false" customHeight="false" outlineLevel="0" collapsed="false">
      <c r="A549" s="24" t="s">
        <v>200</v>
      </c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5"/>
      <c r="O549" s="25"/>
      <c r="P549" s="25"/>
      <c r="Q549" s="25"/>
      <c r="R549" s="25"/>
      <c r="S549" s="25"/>
      <c r="T549" s="28" t="str">
        <f aca="false">IF(N549="","",IF(AND(N549="수정",O549&lt;&gt;""),O549,J549))</f>
        <v/>
      </c>
      <c r="U549" s="28" t="str">
        <f aca="false">IF(N549="","",IF(AND(N549="수정",P549&lt;&gt;""),P549,K549))</f>
        <v/>
      </c>
      <c r="V549" s="28" t="str">
        <f aca="false">IF(N549="","",IF(N549="수정",IF(Q549&lt;&gt;"",Q549,IF(OR(U549="명시 없음",U549="유보",U549="절 아님"),"",L549)),L549))</f>
        <v/>
      </c>
    </row>
    <row r="550" customFormat="false" ht="15" hidden="false" customHeight="false" outlineLevel="0" collapsed="false">
      <c r="A550" s="24" t="s">
        <v>200</v>
      </c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5"/>
      <c r="O550" s="25"/>
      <c r="P550" s="25"/>
      <c r="Q550" s="25"/>
      <c r="R550" s="25"/>
      <c r="S550" s="25"/>
      <c r="T550" s="28" t="str">
        <f aca="false">IF(N550="","",IF(AND(N550="수정",O550&lt;&gt;""),O550,J550))</f>
        <v/>
      </c>
      <c r="U550" s="28" t="str">
        <f aca="false">IF(N550="","",IF(AND(N550="수정",P550&lt;&gt;""),P550,K550))</f>
        <v/>
      </c>
      <c r="V550" s="28" t="str">
        <f aca="false">IF(N550="","",IF(N550="수정",IF(Q550&lt;&gt;"",Q550,IF(OR(U550="명시 없음",U550="유보",U550="절 아님"),"",L550)),L550))</f>
        <v/>
      </c>
    </row>
    <row r="551" customFormat="false" ht="15" hidden="false" customHeight="false" outlineLevel="0" collapsed="false">
      <c r="A551" s="24" t="s">
        <v>200</v>
      </c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5"/>
      <c r="O551" s="25"/>
      <c r="P551" s="25"/>
      <c r="Q551" s="25"/>
      <c r="R551" s="25"/>
      <c r="S551" s="25"/>
      <c r="T551" s="28" t="str">
        <f aca="false">IF(N551="","",IF(AND(N551="수정",O551&lt;&gt;""),O551,J551))</f>
        <v/>
      </c>
      <c r="U551" s="28" t="str">
        <f aca="false">IF(N551="","",IF(AND(N551="수정",P551&lt;&gt;""),P551,K551))</f>
        <v/>
      </c>
      <c r="V551" s="28" t="str">
        <f aca="false">IF(N551="","",IF(N551="수정",IF(Q551&lt;&gt;"",Q551,IF(OR(U551="명시 없음",U551="유보",U551="절 아님"),"",L551)),L551))</f>
        <v/>
      </c>
    </row>
    <row r="552" customFormat="false" ht="15" hidden="false" customHeight="false" outlineLevel="0" collapsed="false">
      <c r="A552" s="24" t="s">
        <v>200</v>
      </c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5"/>
      <c r="O552" s="25"/>
      <c r="P552" s="25"/>
      <c r="Q552" s="25"/>
      <c r="R552" s="25"/>
      <c r="S552" s="25"/>
      <c r="T552" s="28" t="str">
        <f aca="false">IF(N552="","",IF(AND(N552="수정",O552&lt;&gt;""),O552,J552))</f>
        <v/>
      </c>
      <c r="U552" s="28" t="str">
        <f aca="false">IF(N552="","",IF(AND(N552="수정",P552&lt;&gt;""),P552,K552))</f>
        <v/>
      </c>
      <c r="V552" s="28" t="str">
        <f aca="false">IF(N552="","",IF(N552="수정",IF(Q552&lt;&gt;"",Q552,IF(OR(U552="명시 없음",U552="유보",U552="절 아님"),"",L552)),L552))</f>
        <v/>
      </c>
    </row>
    <row r="553" customFormat="false" ht="15" hidden="false" customHeight="false" outlineLevel="0" collapsed="false">
      <c r="A553" s="24" t="s">
        <v>200</v>
      </c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5"/>
      <c r="O553" s="25"/>
      <c r="P553" s="25"/>
      <c r="Q553" s="25"/>
      <c r="R553" s="25"/>
      <c r="S553" s="25"/>
      <c r="T553" s="28" t="str">
        <f aca="false">IF(N553="","",IF(AND(N553="수정",O553&lt;&gt;""),O553,J553))</f>
        <v/>
      </c>
      <c r="U553" s="28" t="str">
        <f aca="false">IF(N553="","",IF(AND(N553="수정",P553&lt;&gt;""),P553,K553))</f>
        <v/>
      </c>
      <c r="V553" s="28" t="str">
        <f aca="false">IF(N553="","",IF(N553="수정",IF(Q553&lt;&gt;"",Q553,IF(OR(U553="명시 없음",U553="유보",U553="절 아님"),"",L553)),L553))</f>
        <v/>
      </c>
    </row>
    <row r="554" customFormat="false" ht="15" hidden="false" customHeight="false" outlineLevel="0" collapsed="false">
      <c r="A554" s="24" t="s">
        <v>200</v>
      </c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5"/>
      <c r="O554" s="25"/>
      <c r="P554" s="25"/>
      <c r="Q554" s="25"/>
      <c r="R554" s="25"/>
      <c r="S554" s="25"/>
      <c r="T554" s="28" t="str">
        <f aca="false">IF(N554="","",IF(AND(N554="수정",O554&lt;&gt;""),O554,J554))</f>
        <v/>
      </c>
      <c r="U554" s="28" t="str">
        <f aca="false">IF(N554="","",IF(AND(N554="수정",P554&lt;&gt;""),P554,K554))</f>
        <v/>
      </c>
      <c r="V554" s="28" t="str">
        <f aca="false">IF(N554="","",IF(N554="수정",IF(Q554&lt;&gt;"",Q554,IF(OR(U554="명시 없음",U554="유보",U554="절 아님"),"",L554)),L554))</f>
        <v/>
      </c>
    </row>
    <row r="555" customFormat="false" ht="15" hidden="false" customHeight="false" outlineLevel="0" collapsed="false">
      <c r="A555" s="24" t="s">
        <v>200</v>
      </c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5"/>
      <c r="O555" s="25"/>
      <c r="P555" s="25"/>
      <c r="Q555" s="25"/>
      <c r="R555" s="25"/>
      <c r="S555" s="25"/>
      <c r="T555" s="28" t="str">
        <f aca="false">IF(N555="","",IF(AND(N555="수정",O555&lt;&gt;""),O555,J555))</f>
        <v/>
      </c>
      <c r="U555" s="28" t="str">
        <f aca="false">IF(N555="","",IF(AND(N555="수정",P555&lt;&gt;""),P555,K555))</f>
        <v/>
      </c>
      <c r="V555" s="28" t="str">
        <f aca="false">IF(N555="","",IF(N555="수정",IF(Q555&lt;&gt;"",Q555,IF(OR(U555="명시 없음",U555="유보",U555="절 아님"),"",L555)),L555))</f>
        <v/>
      </c>
    </row>
    <row r="556" customFormat="false" ht="15" hidden="false" customHeight="false" outlineLevel="0" collapsed="false">
      <c r="A556" s="24" t="s">
        <v>200</v>
      </c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5"/>
      <c r="O556" s="25"/>
      <c r="P556" s="25"/>
      <c r="Q556" s="25"/>
      <c r="R556" s="25"/>
      <c r="S556" s="25"/>
      <c r="T556" s="28" t="str">
        <f aca="false">IF(N556="","",IF(AND(N556="수정",O556&lt;&gt;""),O556,J556))</f>
        <v/>
      </c>
      <c r="U556" s="28" t="str">
        <f aca="false">IF(N556="","",IF(AND(N556="수정",P556&lt;&gt;""),P556,K556))</f>
        <v/>
      </c>
      <c r="V556" s="28" t="str">
        <f aca="false">IF(N556="","",IF(N556="수정",IF(Q556&lt;&gt;"",Q556,IF(OR(U556="명시 없음",U556="유보",U556="절 아님"),"",L556)),L556))</f>
        <v/>
      </c>
    </row>
    <row r="557" customFormat="false" ht="15" hidden="false" customHeight="false" outlineLevel="0" collapsed="false">
      <c r="A557" s="24" t="s">
        <v>200</v>
      </c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5"/>
      <c r="O557" s="25"/>
      <c r="P557" s="25"/>
      <c r="Q557" s="25"/>
      <c r="R557" s="25"/>
      <c r="S557" s="25"/>
      <c r="T557" s="28" t="str">
        <f aca="false">IF(N557="","",IF(AND(N557="수정",O557&lt;&gt;""),O557,J557))</f>
        <v/>
      </c>
      <c r="U557" s="28" t="str">
        <f aca="false">IF(N557="","",IF(AND(N557="수정",P557&lt;&gt;""),P557,K557))</f>
        <v/>
      </c>
      <c r="V557" s="28" t="str">
        <f aca="false">IF(N557="","",IF(N557="수정",IF(Q557&lt;&gt;"",Q557,IF(OR(U557="명시 없음",U557="유보",U557="절 아님"),"",L557)),L557))</f>
        <v/>
      </c>
    </row>
    <row r="558" customFormat="false" ht="15" hidden="false" customHeight="false" outlineLevel="0" collapsed="false">
      <c r="A558" s="24" t="s">
        <v>200</v>
      </c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5"/>
      <c r="O558" s="25"/>
      <c r="P558" s="25"/>
      <c r="Q558" s="25"/>
      <c r="R558" s="25"/>
      <c r="S558" s="25"/>
      <c r="T558" s="28" t="str">
        <f aca="false">IF(N558="","",IF(AND(N558="수정",O558&lt;&gt;""),O558,J558))</f>
        <v/>
      </c>
      <c r="U558" s="28" t="str">
        <f aca="false">IF(N558="","",IF(AND(N558="수정",P558&lt;&gt;""),P558,K558))</f>
        <v/>
      </c>
      <c r="V558" s="28" t="str">
        <f aca="false">IF(N558="","",IF(N558="수정",IF(Q558&lt;&gt;"",Q558,IF(OR(U558="명시 없음",U558="유보",U558="절 아님"),"",L558)),L558))</f>
        <v/>
      </c>
    </row>
    <row r="559" customFormat="false" ht="15" hidden="false" customHeight="false" outlineLevel="0" collapsed="false">
      <c r="A559" s="24" t="s">
        <v>200</v>
      </c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5"/>
      <c r="O559" s="25"/>
      <c r="P559" s="25"/>
      <c r="Q559" s="25"/>
      <c r="R559" s="25"/>
      <c r="S559" s="25"/>
      <c r="T559" s="28" t="str">
        <f aca="false">IF(N559="","",IF(AND(N559="수정",O559&lt;&gt;""),O559,J559))</f>
        <v/>
      </c>
      <c r="U559" s="28" t="str">
        <f aca="false">IF(N559="","",IF(AND(N559="수정",P559&lt;&gt;""),P559,K559))</f>
        <v/>
      </c>
      <c r="V559" s="28" t="str">
        <f aca="false">IF(N559="","",IF(N559="수정",IF(Q559&lt;&gt;"",Q559,IF(OR(U559="명시 없음",U559="유보",U559="절 아님"),"",L559)),L559))</f>
        <v/>
      </c>
    </row>
    <row r="560" customFormat="false" ht="15" hidden="false" customHeight="false" outlineLevel="0" collapsed="false">
      <c r="A560" s="24" t="s">
        <v>200</v>
      </c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5"/>
      <c r="O560" s="25"/>
      <c r="P560" s="25"/>
      <c r="Q560" s="25"/>
      <c r="R560" s="25"/>
      <c r="S560" s="25"/>
      <c r="T560" s="28" t="str">
        <f aca="false">IF(N560="","",IF(AND(N560="수정",O560&lt;&gt;""),O560,J560))</f>
        <v/>
      </c>
      <c r="U560" s="28" t="str">
        <f aca="false">IF(N560="","",IF(AND(N560="수정",P560&lt;&gt;""),P560,K560))</f>
        <v/>
      </c>
      <c r="V560" s="28" t="str">
        <f aca="false">IF(N560="","",IF(N560="수정",IF(Q560&lt;&gt;"",Q560,IF(OR(U560="명시 없음",U560="유보",U560="절 아님"),"",L560)),L560))</f>
        <v/>
      </c>
    </row>
    <row r="561" customFormat="false" ht="15" hidden="false" customHeight="false" outlineLevel="0" collapsed="false">
      <c r="A561" s="24" t="s">
        <v>200</v>
      </c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5"/>
      <c r="O561" s="25"/>
      <c r="P561" s="25"/>
      <c r="Q561" s="25"/>
      <c r="R561" s="25"/>
      <c r="S561" s="25"/>
      <c r="T561" s="28" t="str">
        <f aca="false">IF(N561="","",IF(AND(N561="수정",O561&lt;&gt;""),O561,J561))</f>
        <v/>
      </c>
      <c r="U561" s="28" t="str">
        <f aca="false">IF(N561="","",IF(AND(N561="수정",P561&lt;&gt;""),P561,K561))</f>
        <v/>
      </c>
      <c r="V561" s="28" t="str">
        <f aca="false">IF(N561="","",IF(N561="수정",IF(Q561&lt;&gt;"",Q561,IF(OR(U561="명시 없음",U561="유보",U561="절 아님"),"",L561)),L561))</f>
        <v/>
      </c>
    </row>
    <row r="562" customFormat="false" ht="15" hidden="false" customHeight="false" outlineLevel="0" collapsed="false">
      <c r="A562" s="24" t="s">
        <v>200</v>
      </c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5"/>
      <c r="O562" s="25"/>
      <c r="P562" s="25"/>
      <c r="Q562" s="25"/>
      <c r="R562" s="25"/>
      <c r="S562" s="25"/>
      <c r="T562" s="28" t="str">
        <f aca="false">IF(N562="","",IF(AND(N562="수정",O562&lt;&gt;""),O562,J562))</f>
        <v/>
      </c>
      <c r="U562" s="28" t="str">
        <f aca="false">IF(N562="","",IF(AND(N562="수정",P562&lt;&gt;""),P562,K562))</f>
        <v/>
      </c>
      <c r="V562" s="28" t="str">
        <f aca="false">IF(N562="","",IF(N562="수정",IF(Q562&lt;&gt;"",Q562,IF(OR(U562="명시 없음",U562="유보",U562="절 아님"),"",L562)),L562))</f>
        <v/>
      </c>
    </row>
    <row r="563" customFormat="false" ht="15" hidden="false" customHeight="false" outlineLevel="0" collapsed="false">
      <c r="A563" s="24" t="s">
        <v>200</v>
      </c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5"/>
      <c r="O563" s="25"/>
      <c r="P563" s="25"/>
      <c r="Q563" s="25"/>
      <c r="R563" s="25"/>
      <c r="S563" s="25"/>
      <c r="T563" s="28" t="str">
        <f aca="false">IF(N563="","",IF(AND(N563="수정",O563&lt;&gt;""),O563,J563))</f>
        <v/>
      </c>
      <c r="U563" s="28" t="str">
        <f aca="false">IF(N563="","",IF(AND(N563="수정",P563&lt;&gt;""),P563,K563))</f>
        <v/>
      </c>
      <c r="V563" s="28" t="str">
        <f aca="false">IF(N563="","",IF(N563="수정",IF(Q563&lt;&gt;"",Q563,IF(OR(U563="명시 없음",U563="유보",U563="절 아님"),"",L563)),L563))</f>
        <v/>
      </c>
    </row>
    <row r="564" customFormat="false" ht="15" hidden="false" customHeight="false" outlineLevel="0" collapsed="false">
      <c r="A564" s="24" t="s">
        <v>200</v>
      </c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5"/>
      <c r="O564" s="25"/>
      <c r="P564" s="25"/>
      <c r="Q564" s="25"/>
      <c r="R564" s="25"/>
      <c r="S564" s="25"/>
      <c r="T564" s="28" t="str">
        <f aca="false">IF(N564="","",IF(AND(N564="수정",O564&lt;&gt;""),O564,J564))</f>
        <v/>
      </c>
      <c r="U564" s="28" t="str">
        <f aca="false">IF(N564="","",IF(AND(N564="수정",P564&lt;&gt;""),P564,K564))</f>
        <v/>
      </c>
      <c r="V564" s="28" t="str">
        <f aca="false">IF(N564="","",IF(N564="수정",IF(Q564&lt;&gt;"",Q564,IF(OR(U564="명시 없음",U564="유보",U564="절 아님"),"",L564)),L564))</f>
        <v/>
      </c>
    </row>
    <row r="565" customFormat="false" ht="15" hidden="false" customHeight="false" outlineLevel="0" collapsed="false">
      <c r="A565" s="24" t="s">
        <v>200</v>
      </c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5"/>
      <c r="O565" s="25"/>
      <c r="P565" s="25"/>
      <c r="Q565" s="25"/>
      <c r="R565" s="25"/>
      <c r="S565" s="25"/>
      <c r="T565" s="28" t="str">
        <f aca="false">IF(N565="","",IF(AND(N565="수정",O565&lt;&gt;""),O565,J565))</f>
        <v/>
      </c>
      <c r="U565" s="28" t="str">
        <f aca="false">IF(N565="","",IF(AND(N565="수정",P565&lt;&gt;""),P565,K565))</f>
        <v/>
      </c>
      <c r="V565" s="28" t="str">
        <f aca="false">IF(N565="","",IF(N565="수정",IF(Q565&lt;&gt;"",Q565,IF(OR(U565="명시 없음",U565="유보",U565="절 아님"),"",L565)),L565))</f>
        <v/>
      </c>
    </row>
    <row r="566" customFormat="false" ht="15" hidden="false" customHeight="false" outlineLevel="0" collapsed="false">
      <c r="A566" s="24" t="s">
        <v>200</v>
      </c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5"/>
      <c r="O566" s="25"/>
      <c r="P566" s="25"/>
      <c r="Q566" s="25"/>
      <c r="R566" s="25"/>
      <c r="S566" s="25"/>
      <c r="T566" s="28" t="str">
        <f aca="false">IF(N566="","",IF(AND(N566="수정",O566&lt;&gt;""),O566,J566))</f>
        <v/>
      </c>
      <c r="U566" s="28" t="str">
        <f aca="false">IF(N566="","",IF(AND(N566="수정",P566&lt;&gt;""),P566,K566))</f>
        <v/>
      </c>
      <c r="V566" s="28" t="str">
        <f aca="false">IF(N566="","",IF(N566="수정",IF(Q566&lt;&gt;"",Q566,IF(OR(U566="명시 없음",U566="유보",U566="절 아님"),"",L566)),L566))</f>
        <v/>
      </c>
    </row>
    <row r="567" customFormat="false" ht="15" hidden="false" customHeight="false" outlineLevel="0" collapsed="false">
      <c r="A567" s="24" t="s">
        <v>200</v>
      </c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5"/>
      <c r="O567" s="25"/>
      <c r="P567" s="25"/>
      <c r="Q567" s="25"/>
      <c r="R567" s="25"/>
      <c r="S567" s="25"/>
      <c r="T567" s="28" t="str">
        <f aca="false">IF(N567="","",IF(AND(N567="수정",O567&lt;&gt;""),O567,J567))</f>
        <v/>
      </c>
      <c r="U567" s="28" t="str">
        <f aca="false">IF(N567="","",IF(AND(N567="수정",P567&lt;&gt;""),P567,K567))</f>
        <v/>
      </c>
      <c r="V567" s="28" t="str">
        <f aca="false">IF(N567="","",IF(N567="수정",IF(Q567&lt;&gt;"",Q567,IF(OR(U567="명시 없음",U567="유보",U567="절 아님"),"",L567)),L567))</f>
        <v/>
      </c>
    </row>
    <row r="568" customFormat="false" ht="15" hidden="false" customHeight="false" outlineLevel="0" collapsed="false">
      <c r="A568" s="24" t="s">
        <v>200</v>
      </c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5"/>
      <c r="O568" s="25"/>
      <c r="P568" s="25"/>
      <c r="Q568" s="25"/>
      <c r="R568" s="25"/>
      <c r="S568" s="25"/>
      <c r="T568" s="28" t="str">
        <f aca="false">IF(N568="","",IF(AND(N568="수정",O568&lt;&gt;""),O568,J568))</f>
        <v/>
      </c>
      <c r="U568" s="28" t="str">
        <f aca="false">IF(N568="","",IF(AND(N568="수정",P568&lt;&gt;""),P568,K568))</f>
        <v/>
      </c>
      <c r="V568" s="28" t="str">
        <f aca="false">IF(N568="","",IF(N568="수정",IF(Q568&lt;&gt;"",Q568,IF(OR(U568="명시 없음",U568="유보",U568="절 아님"),"",L568)),L568))</f>
        <v/>
      </c>
    </row>
    <row r="569" customFormat="false" ht="15" hidden="false" customHeight="false" outlineLevel="0" collapsed="false">
      <c r="A569" s="24" t="s">
        <v>200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5"/>
      <c r="O569" s="25"/>
      <c r="P569" s="25"/>
      <c r="Q569" s="25"/>
      <c r="R569" s="25"/>
      <c r="S569" s="25"/>
      <c r="T569" s="28" t="str">
        <f aca="false">IF(N569="","",IF(AND(N569="수정",O569&lt;&gt;""),O569,J569))</f>
        <v/>
      </c>
      <c r="U569" s="28" t="str">
        <f aca="false">IF(N569="","",IF(AND(N569="수정",P569&lt;&gt;""),P569,K569))</f>
        <v/>
      </c>
      <c r="V569" s="28" t="str">
        <f aca="false">IF(N569="","",IF(N569="수정",IF(Q569&lt;&gt;"",Q569,IF(OR(U569="명시 없음",U569="유보",U569="절 아님"),"",L569)),L569))</f>
        <v/>
      </c>
    </row>
    <row r="570" customFormat="false" ht="15" hidden="false" customHeight="false" outlineLevel="0" collapsed="false">
      <c r="A570" s="24" t="s">
        <v>200</v>
      </c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5"/>
      <c r="O570" s="25"/>
      <c r="P570" s="25"/>
      <c r="Q570" s="25"/>
      <c r="R570" s="25"/>
      <c r="S570" s="25"/>
      <c r="T570" s="28" t="str">
        <f aca="false">IF(N570="","",IF(AND(N570="수정",O570&lt;&gt;""),O570,J570))</f>
        <v/>
      </c>
      <c r="U570" s="28" t="str">
        <f aca="false">IF(N570="","",IF(AND(N570="수정",P570&lt;&gt;""),P570,K570))</f>
        <v/>
      </c>
      <c r="V570" s="28" t="str">
        <f aca="false">IF(N570="","",IF(N570="수정",IF(Q570&lt;&gt;"",Q570,IF(OR(U570="명시 없음",U570="유보",U570="절 아님"),"",L570)),L570))</f>
        <v/>
      </c>
    </row>
    <row r="571" customFormat="false" ht="15" hidden="false" customHeight="false" outlineLevel="0" collapsed="false">
      <c r="A571" s="24" t="s">
        <v>200</v>
      </c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5"/>
      <c r="O571" s="25"/>
      <c r="P571" s="25"/>
      <c r="Q571" s="25"/>
      <c r="R571" s="25"/>
      <c r="S571" s="25"/>
      <c r="T571" s="28" t="str">
        <f aca="false">IF(N571="","",IF(AND(N571="수정",O571&lt;&gt;""),O571,J571))</f>
        <v/>
      </c>
      <c r="U571" s="28" t="str">
        <f aca="false">IF(N571="","",IF(AND(N571="수정",P571&lt;&gt;""),P571,K571))</f>
        <v/>
      </c>
      <c r="V571" s="28" t="str">
        <f aca="false">IF(N571="","",IF(N571="수정",IF(Q571&lt;&gt;"",Q571,IF(OR(U571="명시 없음",U571="유보",U571="절 아님"),"",L571)),L571))</f>
        <v/>
      </c>
    </row>
    <row r="572" customFormat="false" ht="15" hidden="false" customHeight="false" outlineLevel="0" collapsed="false">
      <c r="A572" s="24" t="s">
        <v>200</v>
      </c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5"/>
      <c r="O572" s="25"/>
      <c r="P572" s="25"/>
      <c r="Q572" s="25"/>
      <c r="R572" s="25"/>
      <c r="S572" s="25"/>
      <c r="T572" s="28" t="str">
        <f aca="false">IF(N572="","",IF(AND(N572="수정",O572&lt;&gt;""),O572,J572))</f>
        <v/>
      </c>
      <c r="U572" s="28" t="str">
        <f aca="false">IF(N572="","",IF(AND(N572="수정",P572&lt;&gt;""),P572,K572))</f>
        <v/>
      </c>
      <c r="V572" s="28" t="str">
        <f aca="false">IF(N572="","",IF(N572="수정",IF(Q572&lt;&gt;"",Q572,IF(OR(U572="명시 없음",U572="유보",U572="절 아님"),"",L572)),L572))</f>
        <v/>
      </c>
    </row>
    <row r="573" customFormat="false" ht="15" hidden="false" customHeight="false" outlineLevel="0" collapsed="false">
      <c r="A573" s="24" t="s">
        <v>200</v>
      </c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5"/>
      <c r="O573" s="25"/>
      <c r="P573" s="25"/>
      <c r="Q573" s="25"/>
      <c r="R573" s="25"/>
      <c r="S573" s="25"/>
      <c r="T573" s="28" t="str">
        <f aca="false">IF(N573="","",IF(AND(N573="수정",O573&lt;&gt;""),O573,J573))</f>
        <v/>
      </c>
      <c r="U573" s="28" t="str">
        <f aca="false">IF(N573="","",IF(AND(N573="수정",P573&lt;&gt;""),P573,K573))</f>
        <v/>
      </c>
      <c r="V573" s="28" t="str">
        <f aca="false">IF(N573="","",IF(N573="수정",IF(Q573&lt;&gt;"",Q573,IF(OR(U573="명시 없음",U573="유보",U573="절 아님"),"",L573)),L573))</f>
        <v/>
      </c>
    </row>
    <row r="574" customFormat="false" ht="15" hidden="false" customHeight="false" outlineLevel="0" collapsed="false">
      <c r="A574" s="24" t="s">
        <v>200</v>
      </c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5"/>
      <c r="O574" s="25"/>
      <c r="P574" s="25"/>
      <c r="Q574" s="25"/>
      <c r="R574" s="25"/>
      <c r="S574" s="25"/>
      <c r="T574" s="28" t="str">
        <f aca="false">IF(N574="","",IF(AND(N574="수정",O574&lt;&gt;""),O574,J574))</f>
        <v/>
      </c>
      <c r="U574" s="28" t="str">
        <f aca="false">IF(N574="","",IF(AND(N574="수정",P574&lt;&gt;""),P574,K574))</f>
        <v/>
      </c>
      <c r="V574" s="28" t="str">
        <f aca="false">IF(N574="","",IF(N574="수정",IF(Q574&lt;&gt;"",Q574,IF(OR(U574="명시 없음",U574="유보",U574="절 아님"),"",L574)),L574))</f>
        <v/>
      </c>
    </row>
    <row r="575" customFormat="false" ht="15" hidden="false" customHeight="false" outlineLevel="0" collapsed="false">
      <c r="A575" s="24" t="s">
        <v>200</v>
      </c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5"/>
      <c r="O575" s="25"/>
      <c r="P575" s="25"/>
      <c r="Q575" s="25"/>
      <c r="R575" s="25"/>
      <c r="S575" s="25"/>
      <c r="T575" s="28" t="str">
        <f aca="false">IF(N575="","",IF(AND(N575="수정",O575&lt;&gt;""),O575,J575))</f>
        <v/>
      </c>
      <c r="U575" s="28" t="str">
        <f aca="false">IF(N575="","",IF(AND(N575="수정",P575&lt;&gt;""),P575,K575))</f>
        <v/>
      </c>
      <c r="V575" s="28" t="str">
        <f aca="false">IF(N575="","",IF(N575="수정",IF(Q575&lt;&gt;"",Q575,IF(OR(U575="명시 없음",U575="유보",U575="절 아님"),"",L575)),L575))</f>
        <v/>
      </c>
    </row>
    <row r="576" customFormat="false" ht="15" hidden="false" customHeight="false" outlineLevel="0" collapsed="false">
      <c r="A576" s="24" t="s">
        <v>200</v>
      </c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5"/>
      <c r="O576" s="25"/>
      <c r="P576" s="25"/>
      <c r="Q576" s="25"/>
      <c r="R576" s="25"/>
      <c r="S576" s="25"/>
      <c r="T576" s="28" t="str">
        <f aca="false">IF(N576="","",IF(AND(N576="수정",O576&lt;&gt;""),O576,J576))</f>
        <v/>
      </c>
      <c r="U576" s="28" t="str">
        <f aca="false">IF(N576="","",IF(AND(N576="수정",P576&lt;&gt;""),P576,K576))</f>
        <v/>
      </c>
      <c r="V576" s="28" t="str">
        <f aca="false">IF(N576="","",IF(N576="수정",IF(Q576&lt;&gt;"",Q576,IF(OR(U576="명시 없음",U576="유보",U576="절 아님"),"",L576)),L576))</f>
        <v/>
      </c>
    </row>
    <row r="577" customFormat="false" ht="15" hidden="false" customHeight="false" outlineLevel="0" collapsed="false">
      <c r="A577" s="24" t="s">
        <v>200</v>
      </c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5"/>
      <c r="O577" s="25"/>
      <c r="P577" s="25"/>
      <c r="Q577" s="25"/>
      <c r="R577" s="25"/>
      <c r="S577" s="25"/>
      <c r="T577" s="28" t="str">
        <f aca="false">IF(N577="","",IF(AND(N577="수정",O577&lt;&gt;""),O577,J577))</f>
        <v/>
      </c>
      <c r="U577" s="28" t="str">
        <f aca="false">IF(N577="","",IF(AND(N577="수정",P577&lt;&gt;""),P577,K577))</f>
        <v/>
      </c>
      <c r="V577" s="28" t="str">
        <f aca="false">IF(N577="","",IF(N577="수정",IF(Q577&lt;&gt;"",Q577,IF(OR(U577="명시 없음",U577="유보",U577="절 아님"),"",L577)),L577))</f>
        <v/>
      </c>
    </row>
    <row r="578" customFormat="false" ht="15" hidden="false" customHeight="false" outlineLevel="0" collapsed="false">
      <c r="A578" s="24" t="s">
        <v>200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5"/>
      <c r="O578" s="25"/>
      <c r="P578" s="25"/>
      <c r="Q578" s="25"/>
      <c r="R578" s="25"/>
      <c r="S578" s="25"/>
      <c r="T578" s="28" t="str">
        <f aca="false">IF(N578="","",IF(AND(N578="수정",O578&lt;&gt;""),O578,J578))</f>
        <v/>
      </c>
      <c r="U578" s="28" t="str">
        <f aca="false">IF(N578="","",IF(AND(N578="수정",P578&lt;&gt;""),P578,K578))</f>
        <v/>
      </c>
      <c r="V578" s="28" t="str">
        <f aca="false">IF(N578="","",IF(N578="수정",IF(Q578&lt;&gt;"",Q578,IF(OR(U578="명시 없음",U578="유보",U578="절 아님"),"",L578)),L578))</f>
        <v/>
      </c>
    </row>
    <row r="579" customFormat="false" ht="15" hidden="false" customHeight="false" outlineLevel="0" collapsed="false">
      <c r="A579" s="24" t="s">
        <v>200</v>
      </c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5"/>
      <c r="O579" s="25"/>
      <c r="P579" s="25"/>
      <c r="Q579" s="25"/>
      <c r="R579" s="25"/>
      <c r="S579" s="25"/>
      <c r="T579" s="28" t="str">
        <f aca="false">IF(N579="","",IF(AND(N579="수정",O579&lt;&gt;""),O579,J579))</f>
        <v/>
      </c>
      <c r="U579" s="28" t="str">
        <f aca="false">IF(N579="","",IF(AND(N579="수정",P579&lt;&gt;""),P579,K579))</f>
        <v/>
      </c>
      <c r="V579" s="28" t="str">
        <f aca="false">IF(N579="","",IF(N579="수정",IF(Q579&lt;&gt;"",Q579,IF(OR(U579="명시 없음",U579="유보",U579="절 아님"),"",L579)),L579))</f>
        <v/>
      </c>
    </row>
    <row r="580" customFormat="false" ht="15" hidden="false" customHeight="false" outlineLevel="0" collapsed="false">
      <c r="A580" s="24" t="s">
        <v>200</v>
      </c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5"/>
      <c r="O580" s="25"/>
      <c r="P580" s="25"/>
      <c r="Q580" s="25"/>
      <c r="R580" s="25"/>
      <c r="S580" s="25"/>
      <c r="T580" s="28" t="str">
        <f aca="false">IF(N580="","",IF(AND(N580="수정",O580&lt;&gt;""),O580,J580))</f>
        <v/>
      </c>
      <c r="U580" s="28" t="str">
        <f aca="false">IF(N580="","",IF(AND(N580="수정",P580&lt;&gt;""),P580,K580))</f>
        <v/>
      </c>
      <c r="V580" s="28" t="str">
        <f aca="false">IF(N580="","",IF(N580="수정",IF(Q580&lt;&gt;"",Q580,IF(OR(U580="명시 없음",U580="유보",U580="절 아님"),"",L580)),L580))</f>
        <v/>
      </c>
    </row>
    <row r="581" customFormat="false" ht="15" hidden="false" customHeight="false" outlineLevel="0" collapsed="false">
      <c r="A581" s="24" t="s">
        <v>200</v>
      </c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5"/>
      <c r="O581" s="25"/>
      <c r="P581" s="25"/>
      <c r="Q581" s="25"/>
      <c r="R581" s="25"/>
      <c r="S581" s="25"/>
      <c r="T581" s="28" t="str">
        <f aca="false">IF(N581="","",IF(AND(N581="수정",O581&lt;&gt;""),O581,J581))</f>
        <v/>
      </c>
      <c r="U581" s="28" t="str">
        <f aca="false">IF(N581="","",IF(AND(N581="수정",P581&lt;&gt;""),P581,K581))</f>
        <v/>
      </c>
      <c r="V581" s="28" t="str">
        <f aca="false">IF(N581="","",IF(N581="수정",IF(Q581&lt;&gt;"",Q581,IF(OR(U581="명시 없음",U581="유보",U581="절 아님"),"",L581)),L581))</f>
        <v/>
      </c>
    </row>
    <row r="582" customFormat="false" ht="15" hidden="false" customHeight="false" outlineLevel="0" collapsed="false">
      <c r="A582" s="24" t="s">
        <v>200</v>
      </c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5"/>
      <c r="O582" s="25"/>
      <c r="P582" s="25"/>
      <c r="Q582" s="25"/>
      <c r="R582" s="25"/>
      <c r="S582" s="25"/>
      <c r="T582" s="28" t="str">
        <f aca="false">IF(N582="","",IF(AND(N582="수정",O582&lt;&gt;""),O582,J582))</f>
        <v/>
      </c>
      <c r="U582" s="28" t="str">
        <f aca="false">IF(N582="","",IF(AND(N582="수정",P582&lt;&gt;""),P582,K582))</f>
        <v/>
      </c>
      <c r="V582" s="28" t="str">
        <f aca="false">IF(N582="","",IF(N582="수정",IF(Q582&lt;&gt;"",Q582,IF(OR(U582="명시 없음",U582="유보",U582="절 아님"),"",L582)),L582))</f>
        <v/>
      </c>
    </row>
    <row r="583" customFormat="false" ht="15" hidden="false" customHeight="false" outlineLevel="0" collapsed="false">
      <c r="A583" s="24" t="s">
        <v>200</v>
      </c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5"/>
      <c r="O583" s="25"/>
      <c r="P583" s="25"/>
      <c r="Q583" s="25"/>
      <c r="R583" s="25"/>
      <c r="S583" s="25"/>
      <c r="T583" s="28" t="str">
        <f aca="false">IF(N583="","",IF(AND(N583="수정",O583&lt;&gt;""),O583,J583))</f>
        <v/>
      </c>
      <c r="U583" s="28" t="str">
        <f aca="false">IF(N583="","",IF(AND(N583="수정",P583&lt;&gt;""),P583,K583))</f>
        <v/>
      </c>
      <c r="V583" s="28" t="str">
        <f aca="false">IF(N583="","",IF(N583="수정",IF(Q583&lt;&gt;"",Q583,IF(OR(U583="명시 없음",U583="유보",U583="절 아님"),"",L583)),L583))</f>
        <v/>
      </c>
    </row>
    <row r="584" customFormat="false" ht="15" hidden="false" customHeight="false" outlineLevel="0" collapsed="false">
      <c r="A584" s="24" t="s">
        <v>200</v>
      </c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5"/>
      <c r="O584" s="25"/>
      <c r="P584" s="25"/>
      <c r="Q584" s="25"/>
      <c r="R584" s="25"/>
      <c r="S584" s="25"/>
      <c r="T584" s="28" t="str">
        <f aca="false">IF(N584="","",IF(AND(N584="수정",O584&lt;&gt;""),O584,J584))</f>
        <v/>
      </c>
      <c r="U584" s="28" t="str">
        <f aca="false">IF(N584="","",IF(AND(N584="수정",P584&lt;&gt;""),P584,K584))</f>
        <v/>
      </c>
      <c r="V584" s="28" t="str">
        <f aca="false">IF(N584="","",IF(N584="수정",IF(Q584&lt;&gt;"",Q584,IF(OR(U584="명시 없음",U584="유보",U584="절 아님"),"",L584)),L584))</f>
        <v/>
      </c>
    </row>
    <row r="585" customFormat="false" ht="15" hidden="false" customHeight="false" outlineLevel="0" collapsed="false">
      <c r="A585" s="24" t="s">
        <v>200</v>
      </c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5"/>
      <c r="O585" s="25"/>
      <c r="P585" s="25"/>
      <c r="Q585" s="25"/>
      <c r="R585" s="25"/>
      <c r="S585" s="25"/>
      <c r="T585" s="28" t="str">
        <f aca="false">IF(N585="","",IF(AND(N585="수정",O585&lt;&gt;""),O585,J585))</f>
        <v/>
      </c>
      <c r="U585" s="28" t="str">
        <f aca="false">IF(N585="","",IF(AND(N585="수정",P585&lt;&gt;""),P585,K585))</f>
        <v/>
      </c>
      <c r="V585" s="28" t="str">
        <f aca="false">IF(N585="","",IF(N585="수정",IF(Q585&lt;&gt;"",Q585,IF(OR(U585="명시 없음",U585="유보",U585="절 아님"),"",L585)),L585))</f>
        <v/>
      </c>
    </row>
    <row r="586" customFormat="false" ht="15" hidden="false" customHeight="false" outlineLevel="0" collapsed="false">
      <c r="A586" s="24" t="s">
        <v>200</v>
      </c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5"/>
      <c r="O586" s="25"/>
      <c r="P586" s="25"/>
      <c r="Q586" s="25"/>
      <c r="R586" s="25"/>
      <c r="S586" s="25"/>
      <c r="T586" s="28" t="str">
        <f aca="false">IF(N586="","",IF(AND(N586="수정",O586&lt;&gt;""),O586,J586))</f>
        <v/>
      </c>
      <c r="U586" s="28" t="str">
        <f aca="false">IF(N586="","",IF(AND(N586="수정",P586&lt;&gt;""),P586,K586))</f>
        <v/>
      </c>
      <c r="V586" s="28" t="str">
        <f aca="false">IF(N586="","",IF(N586="수정",IF(Q586&lt;&gt;"",Q586,IF(OR(U586="명시 없음",U586="유보",U586="절 아님"),"",L586)),L586))</f>
        <v/>
      </c>
    </row>
    <row r="587" customFormat="false" ht="15" hidden="false" customHeight="false" outlineLevel="0" collapsed="false">
      <c r="A587" s="24" t="s">
        <v>200</v>
      </c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5"/>
      <c r="O587" s="25"/>
      <c r="P587" s="25"/>
      <c r="Q587" s="25"/>
      <c r="R587" s="25"/>
      <c r="S587" s="25"/>
      <c r="T587" s="28" t="str">
        <f aca="false">IF(N587="","",IF(AND(N587="수정",O587&lt;&gt;""),O587,J587))</f>
        <v/>
      </c>
      <c r="U587" s="28" t="str">
        <f aca="false">IF(N587="","",IF(AND(N587="수정",P587&lt;&gt;""),P587,K587))</f>
        <v/>
      </c>
      <c r="V587" s="28" t="str">
        <f aca="false">IF(N587="","",IF(N587="수정",IF(Q587&lt;&gt;"",Q587,IF(OR(U587="명시 없음",U587="유보",U587="절 아님"),"",L587)),L587))</f>
        <v/>
      </c>
    </row>
    <row r="588" customFormat="false" ht="15" hidden="false" customHeight="false" outlineLevel="0" collapsed="false">
      <c r="A588" s="24" t="s">
        <v>200</v>
      </c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5"/>
      <c r="O588" s="25"/>
      <c r="P588" s="25"/>
      <c r="Q588" s="25"/>
      <c r="R588" s="25"/>
      <c r="S588" s="25"/>
      <c r="T588" s="28" t="str">
        <f aca="false">IF(N588="","",IF(AND(N588="수정",O588&lt;&gt;""),O588,J588))</f>
        <v/>
      </c>
      <c r="U588" s="28" t="str">
        <f aca="false">IF(N588="","",IF(AND(N588="수정",P588&lt;&gt;""),P588,K588))</f>
        <v/>
      </c>
      <c r="V588" s="28" t="str">
        <f aca="false">IF(N588="","",IF(N588="수정",IF(Q588&lt;&gt;"",Q588,IF(OR(U588="명시 없음",U588="유보",U588="절 아님"),"",L588)),L588))</f>
        <v/>
      </c>
    </row>
    <row r="589" customFormat="false" ht="15" hidden="false" customHeight="false" outlineLevel="0" collapsed="false">
      <c r="A589" s="24" t="s">
        <v>200</v>
      </c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5"/>
      <c r="O589" s="25"/>
      <c r="P589" s="25"/>
      <c r="Q589" s="25"/>
      <c r="R589" s="25"/>
      <c r="S589" s="25"/>
      <c r="T589" s="28" t="str">
        <f aca="false">IF(N589="","",IF(AND(N589="수정",O589&lt;&gt;""),O589,J589))</f>
        <v/>
      </c>
      <c r="U589" s="28" t="str">
        <f aca="false">IF(N589="","",IF(AND(N589="수정",P589&lt;&gt;""),P589,K589))</f>
        <v/>
      </c>
      <c r="V589" s="28" t="str">
        <f aca="false">IF(N589="","",IF(N589="수정",IF(Q589&lt;&gt;"",Q589,IF(OR(U589="명시 없음",U589="유보",U589="절 아님"),"",L589)),L589))</f>
        <v/>
      </c>
    </row>
    <row r="590" customFormat="false" ht="15" hidden="false" customHeight="false" outlineLevel="0" collapsed="false">
      <c r="A590" s="24" t="s">
        <v>200</v>
      </c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5"/>
      <c r="O590" s="25"/>
      <c r="P590" s="25"/>
      <c r="Q590" s="25"/>
      <c r="R590" s="25"/>
      <c r="S590" s="25"/>
      <c r="T590" s="28" t="str">
        <f aca="false">IF(N590="","",IF(AND(N590="수정",O590&lt;&gt;""),O590,J590))</f>
        <v/>
      </c>
      <c r="U590" s="28" t="str">
        <f aca="false">IF(N590="","",IF(AND(N590="수정",P590&lt;&gt;""),P590,K590))</f>
        <v/>
      </c>
      <c r="V590" s="28" t="str">
        <f aca="false">IF(N590="","",IF(N590="수정",IF(Q590&lt;&gt;"",Q590,IF(OR(U590="명시 없음",U590="유보",U590="절 아님"),"",L590)),L590))</f>
        <v/>
      </c>
    </row>
    <row r="591" customFormat="false" ht="15" hidden="false" customHeight="false" outlineLevel="0" collapsed="false">
      <c r="A591" s="24" t="s">
        <v>200</v>
      </c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5"/>
      <c r="O591" s="25"/>
      <c r="P591" s="25"/>
      <c r="Q591" s="25"/>
      <c r="R591" s="25"/>
      <c r="S591" s="25"/>
      <c r="T591" s="28" t="str">
        <f aca="false">IF(N591="","",IF(AND(N591="수정",O591&lt;&gt;""),O591,J591))</f>
        <v/>
      </c>
      <c r="U591" s="28" t="str">
        <f aca="false">IF(N591="","",IF(AND(N591="수정",P591&lt;&gt;""),P591,K591))</f>
        <v/>
      </c>
      <c r="V591" s="28" t="str">
        <f aca="false">IF(N591="","",IF(N591="수정",IF(Q591&lt;&gt;"",Q591,IF(OR(U591="명시 없음",U591="유보",U591="절 아님"),"",L591)),L591))</f>
        <v/>
      </c>
    </row>
    <row r="592" customFormat="false" ht="15" hidden="false" customHeight="false" outlineLevel="0" collapsed="false">
      <c r="A592" s="24" t="s">
        <v>200</v>
      </c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5"/>
      <c r="O592" s="25"/>
      <c r="P592" s="25"/>
      <c r="Q592" s="25"/>
      <c r="R592" s="25"/>
      <c r="S592" s="25"/>
      <c r="T592" s="28" t="str">
        <f aca="false">IF(N592="","",IF(AND(N592="수정",O592&lt;&gt;""),O592,J592))</f>
        <v/>
      </c>
      <c r="U592" s="28" t="str">
        <f aca="false">IF(N592="","",IF(AND(N592="수정",P592&lt;&gt;""),P592,K592))</f>
        <v/>
      </c>
      <c r="V592" s="28" t="str">
        <f aca="false">IF(N592="","",IF(N592="수정",IF(Q592&lt;&gt;"",Q592,IF(OR(U592="명시 없음",U592="유보",U592="절 아님"),"",L592)),L592))</f>
        <v/>
      </c>
    </row>
    <row r="593" customFormat="false" ht="15" hidden="false" customHeight="false" outlineLevel="0" collapsed="false">
      <c r="A593" s="24" t="s">
        <v>200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5"/>
      <c r="O593" s="25"/>
      <c r="P593" s="25"/>
      <c r="Q593" s="25"/>
      <c r="R593" s="25"/>
      <c r="S593" s="25"/>
      <c r="T593" s="28" t="str">
        <f aca="false">IF(N593="","",IF(AND(N593="수정",O593&lt;&gt;""),O593,J593))</f>
        <v/>
      </c>
      <c r="U593" s="28" t="str">
        <f aca="false">IF(N593="","",IF(AND(N593="수정",P593&lt;&gt;""),P593,K593))</f>
        <v/>
      </c>
      <c r="V593" s="28" t="str">
        <f aca="false">IF(N593="","",IF(N593="수정",IF(Q593&lt;&gt;"",Q593,IF(OR(U593="명시 없음",U593="유보",U593="절 아님"),"",L593)),L593))</f>
        <v/>
      </c>
    </row>
    <row r="594" customFormat="false" ht="15" hidden="false" customHeight="false" outlineLevel="0" collapsed="false">
      <c r="A594" s="24" t="s">
        <v>200</v>
      </c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5"/>
      <c r="O594" s="25"/>
      <c r="P594" s="25"/>
      <c r="Q594" s="25"/>
      <c r="R594" s="25"/>
      <c r="S594" s="25"/>
      <c r="T594" s="28" t="str">
        <f aca="false">IF(N594="","",IF(AND(N594="수정",O594&lt;&gt;""),O594,J594))</f>
        <v/>
      </c>
      <c r="U594" s="28" t="str">
        <f aca="false">IF(N594="","",IF(AND(N594="수정",P594&lt;&gt;""),P594,K594))</f>
        <v/>
      </c>
      <c r="V594" s="28" t="str">
        <f aca="false">IF(N594="","",IF(N594="수정",IF(Q594&lt;&gt;"",Q594,IF(OR(U594="명시 없음",U594="유보",U594="절 아님"),"",L594)),L594))</f>
        <v/>
      </c>
    </row>
    <row r="595" customFormat="false" ht="15" hidden="false" customHeight="false" outlineLevel="0" collapsed="false">
      <c r="A595" s="24" t="s">
        <v>200</v>
      </c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5"/>
      <c r="O595" s="25"/>
      <c r="P595" s="25"/>
      <c r="Q595" s="25"/>
      <c r="R595" s="25"/>
      <c r="S595" s="25"/>
      <c r="T595" s="28" t="str">
        <f aca="false">IF(N595="","",IF(AND(N595="수정",O595&lt;&gt;""),O595,J595))</f>
        <v/>
      </c>
      <c r="U595" s="28" t="str">
        <f aca="false">IF(N595="","",IF(AND(N595="수정",P595&lt;&gt;""),P595,K595))</f>
        <v/>
      </c>
      <c r="V595" s="28" t="str">
        <f aca="false">IF(N595="","",IF(N595="수정",IF(Q595&lt;&gt;"",Q595,IF(OR(U595="명시 없음",U595="유보",U595="절 아님"),"",L595)),L595))</f>
        <v/>
      </c>
    </row>
    <row r="596" customFormat="false" ht="15" hidden="false" customHeight="false" outlineLevel="0" collapsed="false">
      <c r="A596" s="24" t="s">
        <v>200</v>
      </c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5"/>
      <c r="O596" s="25"/>
      <c r="P596" s="25"/>
      <c r="Q596" s="25"/>
      <c r="R596" s="25"/>
      <c r="S596" s="25"/>
      <c r="T596" s="28" t="str">
        <f aca="false">IF(N596="","",IF(AND(N596="수정",O596&lt;&gt;""),O596,J596))</f>
        <v/>
      </c>
      <c r="U596" s="28" t="str">
        <f aca="false">IF(N596="","",IF(AND(N596="수정",P596&lt;&gt;""),P596,K596))</f>
        <v/>
      </c>
      <c r="V596" s="28" t="str">
        <f aca="false">IF(N596="","",IF(N596="수정",IF(Q596&lt;&gt;"",Q596,IF(OR(U596="명시 없음",U596="유보",U596="절 아님"),"",L596)),L596))</f>
        <v/>
      </c>
    </row>
    <row r="597" customFormat="false" ht="15" hidden="false" customHeight="false" outlineLevel="0" collapsed="false">
      <c r="A597" s="24" t="s">
        <v>200</v>
      </c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5"/>
      <c r="O597" s="25"/>
      <c r="P597" s="25"/>
      <c r="Q597" s="25"/>
      <c r="R597" s="25"/>
      <c r="S597" s="25"/>
      <c r="T597" s="28" t="str">
        <f aca="false">IF(N597="","",IF(AND(N597="수정",O597&lt;&gt;""),O597,J597))</f>
        <v/>
      </c>
      <c r="U597" s="28" t="str">
        <f aca="false">IF(N597="","",IF(AND(N597="수정",P597&lt;&gt;""),P597,K597))</f>
        <v/>
      </c>
      <c r="V597" s="28" t="str">
        <f aca="false">IF(N597="","",IF(N597="수정",IF(Q597&lt;&gt;"",Q597,IF(OR(U597="명시 없음",U597="유보",U597="절 아님"),"",L597)),L597))</f>
        <v/>
      </c>
    </row>
    <row r="598" customFormat="false" ht="15" hidden="false" customHeight="false" outlineLevel="0" collapsed="false">
      <c r="A598" s="24" t="s">
        <v>200</v>
      </c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5"/>
      <c r="O598" s="25"/>
      <c r="P598" s="25"/>
      <c r="Q598" s="25"/>
      <c r="R598" s="25"/>
      <c r="S598" s="25"/>
      <c r="T598" s="28" t="str">
        <f aca="false">IF(N598="","",IF(AND(N598="수정",O598&lt;&gt;""),O598,J598))</f>
        <v/>
      </c>
      <c r="U598" s="28" t="str">
        <f aca="false">IF(N598="","",IF(AND(N598="수정",P598&lt;&gt;""),P598,K598))</f>
        <v/>
      </c>
      <c r="V598" s="28" t="str">
        <f aca="false">IF(N598="","",IF(N598="수정",IF(Q598&lt;&gt;"",Q598,IF(OR(U598="명시 없음",U598="유보",U598="절 아님"),"",L598)),L598))</f>
        <v/>
      </c>
    </row>
    <row r="599" customFormat="false" ht="15" hidden="false" customHeight="false" outlineLevel="0" collapsed="false">
      <c r="A599" s="24" t="s">
        <v>200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5"/>
      <c r="O599" s="25"/>
      <c r="P599" s="25"/>
      <c r="Q599" s="25"/>
      <c r="R599" s="25"/>
      <c r="S599" s="25"/>
      <c r="T599" s="28" t="str">
        <f aca="false">IF(N599="","",IF(AND(N599="수정",O599&lt;&gt;""),O599,J599))</f>
        <v/>
      </c>
      <c r="U599" s="28" t="str">
        <f aca="false">IF(N599="","",IF(AND(N599="수정",P599&lt;&gt;""),P599,K599))</f>
        <v/>
      </c>
      <c r="V599" s="28" t="str">
        <f aca="false">IF(N599="","",IF(N599="수정",IF(Q599&lt;&gt;"",Q599,IF(OR(U599="명시 없음",U599="유보",U599="절 아님"),"",L599)),L599))</f>
        <v/>
      </c>
    </row>
    <row r="600" customFormat="false" ht="15" hidden="false" customHeight="false" outlineLevel="0" collapsed="false">
      <c r="A600" s="24" t="s">
        <v>200</v>
      </c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5"/>
      <c r="O600" s="25"/>
      <c r="P600" s="25"/>
      <c r="Q600" s="25"/>
      <c r="R600" s="25"/>
      <c r="S600" s="25"/>
      <c r="T600" s="28" t="str">
        <f aca="false">IF(N600="","",IF(AND(N600="수정",O600&lt;&gt;""),O600,J600))</f>
        <v/>
      </c>
      <c r="U600" s="28" t="str">
        <f aca="false">IF(N600="","",IF(AND(N600="수정",P600&lt;&gt;""),P600,K600))</f>
        <v/>
      </c>
      <c r="V600" s="28" t="str">
        <f aca="false">IF(N600="","",IF(N600="수정",IF(Q600&lt;&gt;"",Q600,IF(OR(U600="명시 없음",U600="유보",U600="절 아님"),"",L600)),L600))</f>
        <v/>
      </c>
    </row>
    <row r="601" customFormat="false" ht="15" hidden="false" customHeight="false" outlineLevel="0" collapsed="false">
      <c r="A601" s="24" t="s">
        <v>200</v>
      </c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5"/>
      <c r="O601" s="25"/>
      <c r="P601" s="25"/>
      <c r="Q601" s="25"/>
      <c r="R601" s="25"/>
      <c r="S601" s="25"/>
      <c r="T601" s="28" t="str">
        <f aca="false">IF(N601="","",IF(AND(N601="수정",O601&lt;&gt;""),O601,J601))</f>
        <v/>
      </c>
      <c r="U601" s="28" t="str">
        <f aca="false">IF(N601="","",IF(AND(N601="수정",P601&lt;&gt;""),P601,K601))</f>
        <v/>
      </c>
      <c r="V601" s="28" t="str">
        <f aca="false">IF(N601="","",IF(N601="수정",IF(Q601&lt;&gt;"",Q601,IF(OR(U601="명시 없음",U601="유보",U601="절 아님"),"",L601)),L601))</f>
        <v/>
      </c>
    </row>
    <row r="602" customFormat="false" ht="15" hidden="false" customHeight="false" outlineLevel="0" collapsed="false">
      <c r="A602" s="24" t="s">
        <v>200</v>
      </c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5"/>
      <c r="O602" s="25"/>
      <c r="P602" s="25"/>
      <c r="Q602" s="25"/>
      <c r="R602" s="25"/>
      <c r="S602" s="25"/>
      <c r="T602" s="28" t="str">
        <f aca="false">IF(N602="","",IF(AND(N602="수정",O602&lt;&gt;""),O602,J602))</f>
        <v/>
      </c>
      <c r="U602" s="28" t="str">
        <f aca="false">IF(N602="","",IF(AND(N602="수정",P602&lt;&gt;""),P602,K602))</f>
        <v/>
      </c>
      <c r="V602" s="28" t="str">
        <f aca="false">IF(N602="","",IF(N602="수정",IF(Q602&lt;&gt;"",Q602,IF(OR(U602="명시 없음",U602="유보",U602="절 아님"),"",L602)),L602))</f>
        <v/>
      </c>
    </row>
    <row r="603" customFormat="false" ht="15" hidden="false" customHeight="false" outlineLevel="0" collapsed="false">
      <c r="A603" s="24" t="s">
        <v>200</v>
      </c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5"/>
      <c r="O603" s="25"/>
      <c r="P603" s="25"/>
      <c r="Q603" s="25"/>
      <c r="R603" s="25"/>
      <c r="S603" s="25"/>
      <c r="T603" s="28" t="str">
        <f aca="false">IF(N603="","",IF(AND(N603="수정",O603&lt;&gt;""),O603,J603))</f>
        <v/>
      </c>
      <c r="U603" s="28" t="str">
        <f aca="false">IF(N603="","",IF(AND(N603="수정",P603&lt;&gt;""),P603,K603))</f>
        <v/>
      </c>
      <c r="V603" s="28" t="str">
        <f aca="false">IF(N603="","",IF(N603="수정",IF(Q603&lt;&gt;"",Q603,IF(OR(U603="명시 없음",U603="유보",U603="절 아님"),"",L603)),L603))</f>
        <v/>
      </c>
    </row>
    <row r="604" customFormat="false" ht="15" hidden="false" customHeight="false" outlineLevel="0" collapsed="false">
      <c r="A604" s="24" t="s">
        <v>200</v>
      </c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5"/>
      <c r="O604" s="25"/>
      <c r="P604" s="25"/>
      <c r="Q604" s="25"/>
      <c r="R604" s="25"/>
      <c r="S604" s="25"/>
      <c r="T604" s="28" t="str">
        <f aca="false">IF(N604="","",IF(AND(N604="수정",O604&lt;&gt;""),O604,J604))</f>
        <v/>
      </c>
      <c r="U604" s="28" t="str">
        <f aca="false">IF(N604="","",IF(AND(N604="수정",P604&lt;&gt;""),P604,K604))</f>
        <v/>
      </c>
      <c r="V604" s="28" t="str">
        <f aca="false">IF(N604="","",IF(N604="수정",IF(Q604&lt;&gt;"",Q604,IF(OR(U604="명시 없음",U604="유보",U604="절 아님"),"",L604)),L604))</f>
        <v/>
      </c>
    </row>
    <row r="605" customFormat="false" ht="15" hidden="false" customHeight="false" outlineLevel="0" collapsed="false">
      <c r="A605" s="24" t="s">
        <v>200</v>
      </c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5"/>
      <c r="O605" s="25"/>
      <c r="P605" s="25"/>
      <c r="Q605" s="25"/>
      <c r="R605" s="25"/>
      <c r="S605" s="25"/>
      <c r="T605" s="28" t="str">
        <f aca="false">IF(N605="","",IF(AND(N605="수정",O605&lt;&gt;""),O605,J605))</f>
        <v/>
      </c>
      <c r="U605" s="28" t="str">
        <f aca="false">IF(N605="","",IF(AND(N605="수정",P605&lt;&gt;""),P605,K605))</f>
        <v/>
      </c>
      <c r="V605" s="28" t="str">
        <f aca="false">IF(N605="","",IF(N605="수정",IF(Q605&lt;&gt;"",Q605,IF(OR(U605="명시 없음",U605="유보",U605="절 아님"),"",L605)),L605))</f>
        <v/>
      </c>
    </row>
    <row r="606" customFormat="false" ht="15" hidden="false" customHeight="false" outlineLevel="0" collapsed="false">
      <c r="A606" s="24" t="s">
        <v>200</v>
      </c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5"/>
      <c r="O606" s="25"/>
      <c r="P606" s="25"/>
      <c r="Q606" s="25"/>
      <c r="R606" s="25"/>
      <c r="S606" s="25"/>
      <c r="T606" s="28" t="str">
        <f aca="false">IF(N606="","",IF(AND(N606="수정",O606&lt;&gt;""),O606,J606))</f>
        <v/>
      </c>
      <c r="U606" s="28" t="str">
        <f aca="false">IF(N606="","",IF(AND(N606="수정",P606&lt;&gt;""),P606,K606))</f>
        <v/>
      </c>
      <c r="V606" s="28" t="str">
        <f aca="false">IF(N606="","",IF(N606="수정",IF(Q606&lt;&gt;"",Q606,IF(OR(U606="명시 없음",U606="유보",U606="절 아님"),"",L606)),L606))</f>
        <v/>
      </c>
    </row>
    <row r="607" customFormat="false" ht="15" hidden="false" customHeight="false" outlineLevel="0" collapsed="false">
      <c r="A607" s="24" t="s">
        <v>200</v>
      </c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5"/>
      <c r="O607" s="25"/>
      <c r="P607" s="25"/>
      <c r="Q607" s="25"/>
      <c r="R607" s="25"/>
      <c r="S607" s="25"/>
      <c r="T607" s="28" t="str">
        <f aca="false">IF(N607="","",IF(AND(N607="수정",O607&lt;&gt;""),O607,J607))</f>
        <v/>
      </c>
      <c r="U607" s="28" t="str">
        <f aca="false">IF(N607="","",IF(AND(N607="수정",P607&lt;&gt;""),P607,K607))</f>
        <v/>
      </c>
      <c r="V607" s="28" t="str">
        <f aca="false">IF(N607="","",IF(N607="수정",IF(Q607&lt;&gt;"",Q607,IF(OR(U607="명시 없음",U607="유보",U607="절 아님"),"",L607)),L607))</f>
        <v/>
      </c>
    </row>
    <row r="608" customFormat="false" ht="15" hidden="false" customHeight="false" outlineLevel="0" collapsed="false">
      <c r="A608" s="24" t="s">
        <v>200</v>
      </c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5"/>
      <c r="O608" s="25"/>
      <c r="P608" s="25"/>
      <c r="Q608" s="25"/>
      <c r="R608" s="25"/>
      <c r="S608" s="25"/>
      <c r="T608" s="28" t="str">
        <f aca="false">IF(N608="","",IF(AND(N608="수정",O608&lt;&gt;""),O608,J608))</f>
        <v/>
      </c>
      <c r="U608" s="28" t="str">
        <f aca="false">IF(N608="","",IF(AND(N608="수정",P608&lt;&gt;""),P608,K608))</f>
        <v/>
      </c>
      <c r="V608" s="28" t="str">
        <f aca="false">IF(N608="","",IF(N608="수정",IF(Q608&lt;&gt;"",Q608,IF(OR(U608="명시 없음",U608="유보",U608="절 아님"),"",L608)),L608))</f>
        <v/>
      </c>
    </row>
    <row r="609" customFormat="false" ht="15" hidden="false" customHeight="false" outlineLevel="0" collapsed="false">
      <c r="A609" s="24" t="s">
        <v>200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5"/>
      <c r="O609" s="25"/>
      <c r="P609" s="25"/>
      <c r="Q609" s="25"/>
      <c r="R609" s="25"/>
      <c r="S609" s="25"/>
      <c r="T609" s="28" t="str">
        <f aca="false">IF(N609="","",IF(AND(N609="수정",O609&lt;&gt;""),O609,J609))</f>
        <v/>
      </c>
      <c r="U609" s="28" t="str">
        <f aca="false">IF(N609="","",IF(AND(N609="수정",P609&lt;&gt;""),P609,K609))</f>
        <v/>
      </c>
      <c r="V609" s="28" t="str">
        <f aca="false">IF(N609="","",IF(N609="수정",IF(Q609&lt;&gt;"",Q609,IF(OR(U609="명시 없음",U609="유보",U609="절 아님"),"",L609)),L609))</f>
        <v/>
      </c>
    </row>
    <row r="610" customFormat="false" ht="15" hidden="false" customHeight="false" outlineLevel="0" collapsed="false">
      <c r="A610" s="24" t="s">
        <v>200</v>
      </c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5"/>
      <c r="O610" s="25"/>
      <c r="P610" s="25"/>
      <c r="Q610" s="25"/>
      <c r="R610" s="25"/>
      <c r="S610" s="25"/>
      <c r="T610" s="28" t="str">
        <f aca="false">IF(N610="","",IF(AND(N610="수정",O610&lt;&gt;""),O610,J610))</f>
        <v/>
      </c>
      <c r="U610" s="28" t="str">
        <f aca="false">IF(N610="","",IF(AND(N610="수정",P610&lt;&gt;""),P610,K610))</f>
        <v/>
      </c>
      <c r="V610" s="28" t="str">
        <f aca="false">IF(N610="","",IF(N610="수정",IF(Q610&lt;&gt;"",Q610,IF(OR(U610="명시 없음",U610="유보",U610="절 아님"),"",L610)),L610))</f>
        <v/>
      </c>
    </row>
    <row r="611" customFormat="false" ht="15" hidden="false" customHeight="false" outlineLevel="0" collapsed="false">
      <c r="A611" s="24" t="s">
        <v>200</v>
      </c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5"/>
      <c r="O611" s="25"/>
      <c r="P611" s="25"/>
      <c r="Q611" s="25"/>
      <c r="R611" s="25"/>
      <c r="S611" s="25"/>
      <c r="T611" s="28" t="str">
        <f aca="false">IF(N611="","",IF(AND(N611="수정",O611&lt;&gt;""),O611,J611))</f>
        <v/>
      </c>
      <c r="U611" s="28" t="str">
        <f aca="false">IF(N611="","",IF(AND(N611="수정",P611&lt;&gt;""),P611,K611))</f>
        <v/>
      </c>
      <c r="V611" s="28" t="str">
        <f aca="false">IF(N611="","",IF(N611="수정",IF(Q611&lt;&gt;"",Q611,IF(OR(U611="명시 없음",U611="유보",U611="절 아님"),"",L611)),L611))</f>
        <v/>
      </c>
    </row>
    <row r="612" customFormat="false" ht="15" hidden="false" customHeight="false" outlineLevel="0" collapsed="false">
      <c r="A612" s="24" t="s">
        <v>200</v>
      </c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5"/>
      <c r="O612" s="25"/>
      <c r="P612" s="25"/>
      <c r="Q612" s="25"/>
      <c r="R612" s="25"/>
      <c r="S612" s="25"/>
      <c r="T612" s="28" t="str">
        <f aca="false">IF(N612="","",IF(AND(N612="수정",O612&lt;&gt;""),O612,J612))</f>
        <v/>
      </c>
      <c r="U612" s="28" t="str">
        <f aca="false">IF(N612="","",IF(AND(N612="수정",P612&lt;&gt;""),P612,K612))</f>
        <v/>
      </c>
      <c r="V612" s="28" t="str">
        <f aca="false">IF(N612="","",IF(N612="수정",IF(Q612&lt;&gt;"",Q612,IF(OR(U612="명시 없음",U612="유보",U612="절 아님"),"",L612)),L612))</f>
        <v/>
      </c>
    </row>
    <row r="613" customFormat="false" ht="15" hidden="false" customHeight="false" outlineLevel="0" collapsed="false">
      <c r="A613" s="24" t="s">
        <v>200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5"/>
      <c r="O613" s="25"/>
      <c r="P613" s="25"/>
      <c r="Q613" s="25"/>
      <c r="R613" s="25"/>
      <c r="S613" s="25"/>
      <c r="T613" s="28" t="str">
        <f aca="false">IF(N613="","",IF(AND(N613="수정",O613&lt;&gt;""),O613,J613))</f>
        <v/>
      </c>
      <c r="U613" s="28" t="str">
        <f aca="false">IF(N613="","",IF(AND(N613="수정",P613&lt;&gt;""),P613,K613))</f>
        <v/>
      </c>
      <c r="V613" s="28" t="str">
        <f aca="false">IF(N613="","",IF(N613="수정",IF(Q613&lt;&gt;"",Q613,IF(OR(U613="명시 없음",U613="유보",U613="절 아님"),"",L613)),L613))</f>
        <v/>
      </c>
    </row>
    <row r="614" customFormat="false" ht="15" hidden="false" customHeight="false" outlineLevel="0" collapsed="false">
      <c r="A614" s="24" t="s">
        <v>200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5"/>
      <c r="O614" s="25"/>
      <c r="P614" s="25"/>
      <c r="Q614" s="25"/>
      <c r="R614" s="25"/>
      <c r="S614" s="25"/>
      <c r="T614" s="28" t="str">
        <f aca="false">IF(N614="","",IF(AND(N614="수정",O614&lt;&gt;""),O614,J614))</f>
        <v/>
      </c>
      <c r="U614" s="28" t="str">
        <f aca="false">IF(N614="","",IF(AND(N614="수정",P614&lt;&gt;""),P614,K614))</f>
        <v/>
      </c>
      <c r="V614" s="28" t="str">
        <f aca="false">IF(N614="","",IF(N614="수정",IF(Q614&lt;&gt;"",Q614,IF(OR(U614="명시 없음",U614="유보",U614="절 아님"),"",L614)),L614))</f>
        <v/>
      </c>
    </row>
    <row r="615" customFormat="false" ht="15" hidden="false" customHeight="false" outlineLevel="0" collapsed="false">
      <c r="A615" s="24" t="s">
        <v>200</v>
      </c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5"/>
      <c r="O615" s="25"/>
      <c r="P615" s="25"/>
      <c r="Q615" s="25"/>
      <c r="R615" s="25"/>
      <c r="S615" s="25"/>
      <c r="T615" s="28" t="str">
        <f aca="false">IF(N615="","",IF(AND(N615="수정",O615&lt;&gt;""),O615,J615))</f>
        <v/>
      </c>
      <c r="U615" s="28" t="str">
        <f aca="false">IF(N615="","",IF(AND(N615="수정",P615&lt;&gt;""),P615,K615))</f>
        <v/>
      </c>
      <c r="V615" s="28" t="str">
        <f aca="false">IF(N615="","",IF(N615="수정",IF(Q615&lt;&gt;"",Q615,IF(OR(U615="명시 없음",U615="유보",U615="절 아님"),"",L615)),L615))</f>
        <v/>
      </c>
    </row>
    <row r="616" customFormat="false" ht="15" hidden="false" customHeight="false" outlineLevel="0" collapsed="false">
      <c r="A616" s="24" t="s">
        <v>200</v>
      </c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5"/>
      <c r="O616" s="25"/>
      <c r="P616" s="25"/>
      <c r="Q616" s="25"/>
      <c r="R616" s="25"/>
      <c r="S616" s="25"/>
      <c r="T616" s="28" t="str">
        <f aca="false">IF(N616="","",IF(AND(N616="수정",O616&lt;&gt;""),O616,J616))</f>
        <v/>
      </c>
      <c r="U616" s="28" t="str">
        <f aca="false">IF(N616="","",IF(AND(N616="수정",P616&lt;&gt;""),P616,K616))</f>
        <v/>
      </c>
      <c r="V616" s="28" t="str">
        <f aca="false">IF(N616="","",IF(N616="수정",IF(Q616&lt;&gt;"",Q616,IF(OR(U616="명시 없음",U616="유보",U616="절 아님"),"",L616)),L616))</f>
        <v/>
      </c>
    </row>
    <row r="617" customFormat="false" ht="15" hidden="false" customHeight="false" outlineLevel="0" collapsed="false">
      <c r="A617" s="24" t="s">
        <v>200</v>
      </c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5"/>
      <c r="O617" s="25"/>
      <c r="P617" s="25"/>
      <c r="Q617" s="25"/>
      <c r="R617" s="25"/>
      <c r="S617" s="25"/>
      <c r="T617" s="28" t="str">
        <f aca="false">IF(N617="","",IF(AND(N617="수정",O617&lt;&gt;""),O617,J617))</f>
        <v/>
      </c>
      <c r="U617" s="28" t="str">
        <f aca="false">IF(N617="","",IF(AND(N617="수정",P617&lt;&gt;""),P617,K617))</f>
        <v/>
      </c>
      <c r="V617" s="28" t="str">
        <f aca="false">IF(N617="","",IF(N617="수정",IF(Q617&lt;&gt;"",Q617,IF(OR(U617="명시 없음",U617="유보",U617="절 아님"),"",L617)),L617))</f>
        <v/>
      </c>
    </row>
    <row r="618" customFormat="false" ht="15" hidden="false" customHeight="false" outlineLevel="0" collapsed="false">
      <c r="A618" s="24" t="s">
        <v>200</v>
      </c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5"/>
      <c r="O618" s="25"/>
      <c r="P618" s="25"/>
      <c r="Q618" s="25"/>
      <c r="R618" s="25"/>
      <c r="S618" s="25"/>
      <c r="T618" s="28" t="str">
        <f aca="false">IF(N618="","",IF(AND(N618="수정",O618&lt;&gt;""),O618,J618))</f>
        <v/>
      </c>
      <c r="U618" s="28" t="str">
        <f aca="false">IF(N618="","",IF(AND(N618="수정",P618&lt;&gt;""),P618,K618))</f>
        <v/>
      </c>
      <c r="V618" s="28" t="str">
        <f aca="false">IF(N618="","",IF(N618="수정",IF(Q618&lt;&gt;"",Q618,IF(OR(U618="명시 없음",U618="유보",U618="절 아님"),"",L618)),L618))</f>
        <v/>
      </c>
    </row>
    <row r="619" customFormat="false" ht="15" hidden="false" customHeight="false" outlineLevel="0" collapsed="false">
      <c r="A619" s="24" t="s">
        <v>200</v>
      </c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5"/>
      <c r="O619" s="25"/>
      <c r="P619" s="25"/>
      <c r="Q619" s="25"/>
      <c r="R619" s="25"/>
      <c r="S619" s="25"/>
      <c r="T619" s="28" t="str">
        <f aca="false">IF(N619="","",IF(AND(N619="수정",O619&lt;&gt;""),O619,J619))</f>
        <v/>
      </c>
      <c r="U619" s="28" t="str">
        <f aca="false">IF(N619="","",IF(AND(N619="수정",P619&lt;&gt;""),P619,K619))</f>
        <v/>
      </c>
      <c r="V619" s="28" t="str">
        <f aca="false">IF(N619="","",IF(N619="수정",IF(Q619&lt;&gt;"",Q619,IF(OR(U619="명시 없음",U619="유보",U619="절 아님"),"",L619)),L619))</f>
        <v/>
      </c>
    </row>
    <row r="620" customFormat="false" ht="15" hidden="false" customHeight="false" outlineLevel="0" collapsed="false">
      <c r="A620" s="24" t="s">
        <v>200</v>
      </c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5"/>
      <c r="O620" s="25"/>
      <c r="P620" s="25"/>
      <c r="Q620" s="25"/>
      <c r="R620" s="25"/>
      <c r="S620" s="25"/>
      <c r="T620" s="28" t="str">
        <f aca="false">IF(N620="","",IF(AND(N620="수정",O620&lt;&gt;""),O620,J620))</f>
        <v/>
      </c>
      <c r="U620" s="28" t="str">
        <f aca="false">IF(N620="","",IF(AND(N620="수정",P620&lt;&gt;""),P620,K620))</f>
        <v/>
      </c>
      <c r="V620" s="28" t="str">
        <f aca="false">IF(N620="","",IF(N620="수정",IF(Q620&lt;&gt;"",Q620,IF(OR(U620="명시 없음",U620="유보",U620="절 아님"),"",L620)),L620))</f>
        <v/>
      </c>
    </row>
    <row r="621" customFormat="false" ht="15" hidden="false" customHeight="false" outlineLevel="0" collapsed="false">
      <c r="A621" s="24" t="s">
        <v>200</v>
      </c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5"/>
      <c r="O621" s="25"/>
      <c r="P621" s="25"/>
      <c r="Q621" s="25"/>
      <c r="R621" s="25"/>
      <c r="S621" s="25"/>
      <c r="T621" s="28" t="str">
        <f aca="false">IF(N621="","",IF(AND(N621="수정",O621&lt;&gt;""),O621,J621))</f>
        <v/>
      </c>
      <c r="U621" s="28" t="str">
        <f aca="false">IF(N621="","",IF(AND(N621="수정",P621&lt;&gt;""),P621,K621))</f>
        <v/>
      </c>
      <c r="V621" s="28" t="str">
        <f aca="false">IF(N621="","",IF(N621="수정",IF(Q621&lt;&gt;"",Q621,IF(OR(U621="명시 없음",U621="유보",U621="절 아님"),"",L621)),L621))</f>
        <v/>
      </c>
    </row>
    <row r="622" customFormat="false" ht="15" hidden="false" customHeight="false" outlineLevel="0" collapsed="false">
      <c r="A622" s="24" t="s">
        <v>200</v>
      </c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5"/>
      <c r="O622" s="25"/>
      <c r="P622" s="25"/>
      <c r="Q622" s="25"/>
      <c r="R622" s="25"/>
      <c r="S622" s="25"/>
      <c r="T622" s="28" t="str">
        <f aca="false">IF(N622="","",IF(AND(N622="수정",O622&lt;&gt;""),O622,J622))</f>
        <v/>
      </c>
      <c r="U622" s="28" t="str">
        <f aca="false">IF(N622="","",IF(AND(N622="수정",P622&lt;&gt;""),P622,K622))</f>
        <v/>
      </c>
      <c r="V622" s="28" t="str">
        <f aca="false">IF(N622="","",IF(N622="수정",IF(Q622&lt;&gt;"",Q622,IF(OR(U622="명시 없음",U622="유보",U622="절 아님"),"",L622)),L622))</f>
        <v/>
      </c>
    </row>
    <row r="623" customFormat="false" ht="15" hidden="false" customHeight="false" outlineLevel="0" collapsed="false">
      <c r="A623" s="24" t="s">
        <v>200</v>
      </c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5"/>
      <c r="O623" s="25"/>
      <c r="P623" s="25"/>
      <c r="Q623" s="25"/>
      <c r="R623" s="25"/>
      <c r="S623" s="25"/>
      <c r="T623" s="28" t="str">
        <f aca="false">IF(N623="","",IF(AND(N623="수정",O623&lt;&gt;""),O623,J623))</f>
        <v/>
      </c>
      <c r="U623" s="28" t="str">
        <f aca="false">IF(N623="","",IF(AND(N623="수정",P623&lt;&gt;""),P623,K623))</f>
        <v/>
      </c>
      <c r="V623" s="28" t="str">
        <f aca="false">IF(N623="","",IF(N623="수정",IF(Q623&lt;&gt;"",Q623,IF(OR(U623="명시 없음",U623="유보",U623="절 아님"),"",L623)),L623))</f>
        <v/>
      </c>
    </row>
    <row r="624" customFormat="false" ht="15" hidden="false" customHeight="false" outlineLevel="0" collapsed="false">
      <c r="A624" s="24" t="s">
        <v>200</v>
      </c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5"/>
      <c r="O624" s="25"/>
      <c r="P624" s="25"/>
      <c r="Q624" s="25"/>
      <c r="R624" s="25"/>
      <c r="S624" s="25"/>
      <c r="T624" s="28" t="str">
        <f aca="false">IF(N624="","",IF(AND(N624="수정",O624&lt;&gt;""),O624,J624))</f>
        <v/>
      </c>
      <c r="U624" s="28" t="str">
        <f aca="false">IF(N624="","",IF(AND(N624="수정",P624&lt;&gt;""),P624,K624))</f>
        <v/>
      </c>
      <c r="V624" s="28" t="str">
        <f aca="false">IF(N624="","",IF(N624="수정",IF(Q624&lt;&gt;"",Q624,IF(OR(U624="명시 없음",U624="유보",U624="절 아님"),"",L624)),L624))</f>
        <v/>
      </c>
    </row>
    <row r="625" customFormat="false" ht="15" hidden="false" customHeight="false" outlineLevel="0" collapsed="false">
      <c r="A625" s="24" t="s">
        <v>200</v>
      </c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5"/>
      <c r="O625" s="25"/>
      <c r="P625" s="25"/>
      <c r="Q625" s="25"/>
      <c r="R625" s="25"/>
      <c r="S625" s="25"/>
      <c r="T625" s="28" t="str">
        <f aca="false">IF(N625="","",IF(AND(N625="수정",O625&lt;&gt;""),O625,J625))</f>
        <v/>
      </c>
      <c r="U625" s="28" t="str">
        <f aca="false">IF(N625="","",IF(AND(N625="수정",P625&lt;&gt;""),P625,K625))</f>
        <v/>
      </c>
      <c r="V625" s="28" t="str">
        <f aca="false">IF(N625="","",IF(N625="수정",IF(Q625&lt;&gt;"",Q625,IF(OR(U625="명시 없음",U625="유보",U625="절 아님"),"",L625)),L625))</f>
        <v/>
      </c>
    </row>
    <row r="626" customFormat="false" ht="15" hidden="false" customHeight="false" outlineLevel="0" collapsed="false">
      <c r="A626" s="24" t="s">
        <v>200</v>
      </c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5"/>
      <c r="O626" s="25"/>
      <c r="P626" s="25"/>
      <c r="Q626" s="25"/>
      <c r="R626" s="25"/>
      <c r="S626" s="25"/>
      <c r="T626" s="28" t="str">
        <f aca="false">IF(N626="","",IF(AND(N626="수정",O626&lt;&gt;""),O626,J626))</f>
        <v/>
      </c>
      <c r="U626" s="28" t="str">
        <f aca="false">IF(N626="","",IF(AND(N626="수정",P626&lt;&gt;""),P626,K626))</f>
        <v/>
      </c>
      <c r="V626" s="28" t="str">
        <f aca="false">IF(N626="","",IF(N626="수정",IF(Q626&lt;&gt;"",Q626,IF(OR(U626="명시 없음",U626="유보",U626="절 아님"),"",L626)),L626))</f>
        <v/>
      </c>
    </row>
    <row r="627" customFormat="false" ht="15" hidden="false" customHeight="false" outlineLevel="0" collapsed="false">
      <c r="A627" s="24" t="s">
        <v>200</v>
      </c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5"/>
      <c r="O627" s="25"/>
      <c r="P627" s="25"/>
      <c r="Q627" s="25"/>
      <c r="R627" s="25"/>
      <c r="S627" s="25"/>
      <c r="T627" s="28" t="str">
        <f aca="false">IF(N627="","",IF(AND(N627="수정",O627&lt;&gt;""),O627,J627))</f>
        <v/>
      </c>
      <c r="U627" s="28" t="str">
        <f aca="false">IF(N627="","",IF(AND(N627="수정",P627&lt;&gt;""),P627,K627))</f>
        <v/>
      </c>
      <c r="V627" s="28" t="str">
        <f aca="false">IF(N627="","",IF(N627="수정",IF(Q627&lt;&gt;"",Q627,IF(OR(U627="명시 없음",U627="유보",U627="절 아님"),"",L627)),L627))</f>
        <v/>
      </c>
    </row>
    <row r="628" customFormat="false" ht="15" hidden="false" customHeight="false" outlineLevel="0" collapsed="false">
      <c r="A628" s="24" t="s">
        <v>200</v>
      </c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5"/>
      <c r="O628" s="25"/>
      <c r="P628" s="25"/>
      <c r="Q628" s="25"/>
      <c r="R628" s="25"/>
      <c r="S628" s="25"/>
      <c r="T628" s="28" t="str">
        <f aca="false">IF(N628="","",IF(AND(N628="수정",O628&lt;&gt;""),O628,J628))</f>
        <v/>
      </c>
      <c r="U628" s="28" t="str">
        <f aca="false">IF(N628="","",IF(AND(N628="수정",P628&lt;&gt;""),P628,K628))</f>
        <v/>
      </c>
      <c r="V628" s="28" t="str">
        <f aca="false">IF(N628="","",IF(N628="수정",IF(Q628&lt;&gt;"",Q628,IF(OR(U628="명시 없음",U628="유보",U628="절 아님"),"",L628)),L628))</f>
        <v/>
      </c>
    </row>
    <row r="629" customFormat="false" ht="15" hidden="false" customHeight="false" outlineLevel="0" collapsed="false">
      <c r="A629" s="24" t="s">
        <v>200</v>
      </c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5"/>
      <c r="O629" s="25"/>
      <c r="P629" s="25"/>
      <c r="Q629" s="25"/>
      <c r="R629" s="25"/>
      <c r="S629" s="25"/>
      <c r="T629" s="28" t="str">
        <f aca="false">IF(N629="","",IF(AND(N629="수정",O629&lt;&gt;""),O629,J629))</f>
        <v/>
      </c>
      <c r="U629" s="28" t="str">
        <f aca="false">IF(N629="","",IF(AND(N629="수정",P629&lt;&gt;""),P629,K629))</f>
        <v/>
      </c>
      <c r="V629" s="28" t="str">
        <f aca="false">IF(N629="","",IF(N629="수정",IF(Q629&lt;&gt;"",Q629,IF(OR(U629="명시 없음",U629="유보",U629="절 아님"),"",L629)),L629))</f>
        <v/>
      </c>
    </row>
    <row r="630" customFormat="false" ht="15" hidden="false" customHeight="false" outlineLevel="0" collapsed="false">
      <c r="A630" s="24" t="s">
        <v>200</v>
      </c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5"/>
      <c r="O630" s="25"/>
      <c r="P630" s="25"/>
      <c r="Q630" s="25"/>
      <c r="R630" s="25"/>
      <c r="S630" s="25"/>
      <c r="T630" s="28" t="str">
        <f aca="false">IF(N630="","",IF(AND(N630="수정",O630&lt;&gt;""),O630,J630))</f>
        <v/>
      </c>
      <c r="U630" s="28" t="str">
        <f aca="false">IF(N630="","",IF(AND(N630="수정",P630&lt;&gt;""),P630,K630))</f>
        <v/>
      </c>
      <c r="V630" s="28" t="str">
        <f aca="false">IF(N630="","",IF(N630="수정",IF(Q630&lt;&gt;"",Q630,IF(OR(U630="명시 없음",U630="유보",U630="절 아님"),"",L630)),L630))</f>
        <v/>
      </c>
    </row>
    <row r="631" customFormat="false" ht="15" hidden="false" customHeight="false" outlineLevel="0" collapsed="false">
      <c r="A631" s="24" t="s">
        <v>200</v>
      </c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5"/>
      <c r="O631" s="25"/>
      <c r="P631" s="25"/>
      <c r="Q631" s="25"/>
      <c r="R631" s="25"/>
      <c r="S631" s="25"/>
      <c r="T631" s="28" t="str">
        <f aca="false">IF(N631="","",IF(AND(N631="수정",O631&lt;&gt;""),O631,J631))</f>
        <v/>
      </c>
      <c r="U631" s="28" t="str">
        <f aca="false">IF(N631="","",IF(AND(N631="수정",P631&lt;&gt;""),P631,K631))</f>
        <v/>
      </c>
      <c r="V631" s="28" t="str">
        <f aca="false">IF(N631="","",IF(N631="수정",IF(Q631&lt;&gt;"",Q631,IF(OR(U631="명시 없음",U631="유보",U631="절 아님"),"",L631)),L631))</f>
        <v/>
      </c>
    </row>
    <row r="632" customFormat="false" ht="15" hidden="false" customHeight="false" outlineLevel="0" collapsed="false">
      <c r="A632" s="24" t="s">
        <v>200</v>
      </c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5"/>
      <c r="O632" s="25"/>
      <c r="P632" s="25"/>
      <c r="Q632" s="25"/>
      <c r="R632" s="25"/>
      <c r="S632" s="25"/>
      <c r="T632" s="28" t="str">
        <f aca="false">IF(N632="","",IF(AND(N632="수정",O632&lt;&gt;""),O632,J632))</f>
        <v/>
      </c>
      <c r="U632" s="28" t="str">
        <f aca="false">IF(N632="","",IF(AND(N632="수정",P632&lt;&gt;""),P632,K632))</f>
        <v/>
      </c>
      <c r="V632" s="28" t="str">
        <f aca="false">IF(N632="","",IF(N632="수정",IF(Q632&lt;&gt;"",Q632,IF(OR(U632="명시 없음",U632="유보",U632="절 아님"),"",L632)),L632))</f>
        <v/>
      </c>
    </row>
    <row r="633" customFormat="false" ht="15" hidden="false" customHeight="false" outlineLevel="0" collapsed="false">
      <c r="A633" s="24" t="s">
        <v>200</v>
      </c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5"/>
      <c r="O633" s="25"/>
      <c r="P633" s="25"/>
      <c r="Q633" s="25"/>
      <c r="R633" s="25"/>
      <c r="S633" s="25"/>
      <c r="T633" s="28" t="str">
        <f aca="false">IF(N633="","",IF(AND(N633="수정",O633&lt;&gt;""),O633,J633))</f>
        <v/>
      </c>
      <c r="U633" s="28" t="str">
        <f aca="false">IF(N633="","",IF(AND(N633="수정",P633&lt;&gt;""),P633,K633))</f>
        <v/>
      </c>
      <c r="V633" s="28" t="str">
        <f aca="false">IF(N633="","",IF(N633="수정",IF(Q633&lt;&gt;"",Q633,IF(OR(U633="명시 없음",U633="유보",U633="절 아님"),"",L633)),L633))</f>
        <v/>
      </c>
    </row>
    <row r="634" customFormat="false" ht="15" hidden="false" customHeight="false" outlineLevel="0" collapsed="false">
      <c r="A634" s="24" t="s">
        <v>200</v>
      </c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5"/>
      <c r="O634" s="25"/>
      <c r="P634" s="25"/>
      <c r="Q634" s="25"/>
      <c r="R634" s="25"/>
      <c r="S634" s="25"/>
      <c r="T634" s="28" t="str">
        <f aca="false">IF(N634="","",IF(AND(N634="수정",O634&lt;&gt;""),O634,J634))</f>
        <v/>
      </c>
      <c r="U634" s="28" t="str">
        <f aca="false">IF(N634="","",IF(AND(N634="수정",P634&lt;&gt;""),P634,K634))</f>
        <v/>
      </c>
      <c r="V634" s="28" t="str">
        <f aca="false">IF(N634="","",IF(N634="수정",IF(Q634&lt;&gt;"",Q634,IF(OR(U634="명시 없음",U634="유보",U634="절 아님"),"",L634)),L634))</f>
        <v/>
      </c>
    </row>
    <row r="635" customFormat="false" ht="15" hidden="false" customHeight="false" outlineLevel="0" collapsed="false">
      <c r="A635" s="24" t="s">
        <v>200</v>
      </c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5"/>
      <c r="O635" s="25"/>
      <c r="P635" s="25"/>
      <c r="Q635" s="25"/>
      <c r="R635" s="25"/>
      <c r="S635" s="25"/>
      <c r="T635" s="28" t="str">
        <f aca="false">IF(N635="","",IF(AND(N635="수정",O635&lt;&gt;""),O635,J635))</f>
        <v/>
      </c>
      <c r="U635" s="28" t="str">
        <f aca="false">IF(N635="","",IF(AND(N635="수정",P635&lt;&gt;""),P635,K635))</f>
        <v/>
      </c>
      <c r="V635" s="28" t="str">
        <f aca="false">IF(N635="","",IF(N635="수정",IF(Q635&lt;&gt;"",Q635,IF(OR(U635="명시 없음",U635="유보",U635="절 아님"),"",L635)),L635))</f>
        <v/>
      </c>
    </row>
    <row r="636" customFormat="false" ht="15" hidden="false" customHeight="false" outlineLevel="0" collapsed="false">
      <c r="A636" s="24" t="s">
        <v>200</v>
      </c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5"/>
      <c r="O636" s="25"/>
      <c r="P636" s="25"/>
      <c r="Q636" s="25"/>
      <c r="R636" s="25"/>
      <c r="S636" s="25"/>
      <c r="T636" s="28" t="str">
        <f aca="false">IF(N636="","",IF(AND(N636="수정",O636&lt;&gt;""),O636,J636))</f>
        <v/>
      </c>
      <c r="U636" s="28" t="str">
        <f aca="false">IF(N636="","",IF(AND(N636="수정",P636&lt;&gt;""),P636,K636))</f>
        <v/>
      </c>
      <c r="V636" s="28" t="str">
        <f aca="false">IF(N636="","",IF(N636="수정",IF(Q636&lt;&gt;"",Q636,IF(OR(U636="명시 없음",U636="유보",U636="절 아님"),"",L636)),L636))</f>
        <v/>
      </c>
    </row>
    <row r="637" customFormat="false" ht="15" hidden="false" customHeight="false" outlineLevel="0" collapsed="false">
      <c r="A637" s="24" t="s">
        <v>200</v>
      </c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5"/>
      <c r="O637" s="25"/>
      <c r="P637" s="25"/>
      <c r="Q637" s="25"/>
      <c r="R637" s="25"/>
      <c r="S637" s="25"/>
      <c r="T637" s="28" t="str">
        <f aca="false">IF(N637="","",IF(AND(N637="수정",O637&lt;&gt;""),O637,J637))</f>
        <v/>
      </c>
      <c r="U637" s="28" t="str">
        <f aca="false">IF(N637="","",IF(AND(N637="수정",P637&lt;&gt;""),P637,K637))</f>
        <v/>
      </c>
      <c r="V637" s="28" t="str">
        <f aca="false">IF(N637="","",IF(N637="수정",IF(Q637&lt;&gt;"",Q637,IF(OR(U637="명시 없음",U637="유보",U637="절 아님"),"",L637)),L637))</f>
        <v/>
      </c>
    </row>
    <row r="638" customFormat="false" ht="15" hidden="false" customHeight="false" outlineLevel="0" collapsed="false">
      <c r="A638" s="24" t="s">
        <v>200</v>
      </c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5"/>
      <c r="O638" s="25"/>
      <c r="P638" s="25"/>
      <c r="Q638" s="25"/>
      <c r="R638" s="25"/>
      <c r="S638" s="25"/>
      <c r="T638" s="28" t="str">
        <f aca="false">IF(N638="","",IF(AND(N638="수정",O638&lt;&gt;""),O638,J638))</f>
        <v/>
      </c>
      <c r="U638" s="28" t="str">
        <f aca="false">IF(N638="","",IF(AND(N638="수정",P638&lt;&gt;""),P638,K638))</f>
        <v/>
      </c>
      <c r="V638" s="28" t="str">
        <f aca="false">IF(N638="","",IF(N638="수정",IF(Q638&lt;&gt;"",Q638,IF(OR(U638="명시 없음",U638="유보",U638="절 아님"),"",L638)),L638))</f>
        <v/>
      </c>
    </row>
    <row r="639" customFormat="false" ht="15" hidden="false" customHeight="false" outlineLevel="0" collapsed="false">
      <c r="A639" s="24" t="s">
        <v>200</v>
      </c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5"/>
      <c r="O639" s="25"/>
      <c r="P639" s="25"/>
      <c r="Q639" s="25"/>
      <c r="R639" s="25"/>
      <c r="S639" s="25"/>
      <c r="T639" s="28" t="str">
        <f aca="false">IF(N639="","",IF(AND(N639="수정",O639&lt;&gt;""),O639,J639))</f>
        <v/>
      </c>
      <c r="U639" s="28" t="str">
        <f aca="false">IF(N639="","",IF(AND(N639="수정",P639&lt;&gt;""),P639,K639))</f>
        <v/>
      </c>
      <c r="V639" s="28" t="str">
        <f aca="false">IF(N639="","",IF(N639="수정",IF(Q639&lt;&gt;"",Q639,IF(OR(U639="명시 없음",U639="유보",U639="절 아님"),"",L639)),L639))</f>
        <v/>
      </c>
    </row>
    <row r="640" customFormat="false" ht="15" hidden="false" customHeight="false" outlineLevel="0" collapsed="false">
      <c r="A640" s="24" t="s">
        <v>200</v>
      </c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5"/>
      <c r="O640" s="25"/>
      <c r="P640" s="25"/>
      <c r="Q640" s="25"/>
      <c r="R640" s="25"/>
      <c r="S640" s="25"/>
      <c r="T640" s="28" t="str">
        <f aca="false">IF(N640="","",IF(AND(N640="수정",O640&lt;&gt;""),O640,J640))</f>
        <v/>
      </c>
      <c r="U640" s="28" t="str">
        <f aca="false">IF(N640="","",IF(AND(N640="수정",P640&lt;&gt;""),P640,K640))</f>
        <v/>
      </c>
      <c r="V640" s="28" t="str">
        <f aca="false">IF(N640="","",IF(N640="수정",IF(Q640&lt;&gt;"",Q640,IF(OR(U640="명시 없음",U640="유보",U640="절 아님"),"",L640)),L640))</f>
        <v/>
      </c>
    </row>
    <row r="641" customFormat="false" ht="15" hidden="false" customHeight="false" outlineLevel="0" collapsed="false">
      <c r="A641" s="24" t="s">
        <v>200</v>
      </c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5"/>
      <c r="O641" s="25"/>
      <c r="P641" s="25"/>
      <c r="Q641" s="25"/>
      <c r="R641" s="25"/>
      <c r="S641" s="25"/>
      <c r="T641" s="28" t="str">
        <f aca="false">IF(N641="","",IF(AND(N641="수정",O641&lt;&gt;""),O641,J641))</f>
        <v/>
      </c>
      <c r="U641" s="28" t="str">
        <f aca="false">IF(N641="","",IF(AND(N641="수정",P641&lt;&gt;""),P641,K641))</f>
        <v/>
      </c>
      <c r="V641" s="28" t="str">
        <f aca="false">IF(N641="","",IF(N641="수정",IF(Q641&lt;&gt;"",Q641,IF(OR(U641="명시 없음",U641="유보",U641="절 아님"),"",L641)),L641))</f>
        <v/>
      </c>
    </row>
    <row r="642" customFormat="false" ht="15" hidden="false" customHeight="false" outlineLevel="0" collapsed="false">
      <c r="A642" s="24" t="s">
        <v>200</v>
      </c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5"/>
      <c r="O642" s="25"/>
      <c r="P642" s="25"/>
      <c r="Q642" s="25"/>
      <c r="R642" s="25"/>
      <c r="S642" s="25"/>
      <c r="T642" s="28" t="str">
        <f aca="false">IF(N642="","",IF(AND(N642="수정",O642&lt;&gt;""),O642,J642))</f>
        <v/>
      </c>
      <c r="U642" s="28" t="str">
        <f aca="false">IF(N642="","",IF(AND(N642="수정",P642&lt;&gt;""),P642,K642))</f>
        <v/>
      </c>
      <c r="V642" s="28" t="str">
        <f aca="false">IF(N642="","",IF(N642="수정",IF(Q642&lt;&gt;"",Q642,IF(OR(U642="명시 없음",U642="유보",U642="절 아님"),"",L642)),L642))</f>
        <v/>
      </c>
    </row>
    <row r="643" customFormat="false" ht="15" hidden="false" customHeight="false" outlineLevel="0" collapsed="false">
      <c r="A643" s="24" t="s">
        <v>200</v>
      </c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5"/>
      <c r="O643" s="25"/>
      <c r="P643" s="25"/>
      <c r="Q643" s="25"/>
      <c r="R643" s="25"/>
      <c r="S643" s="25"/>
      <c r="T643" s="28" t="str">
        <f aca="false">IF(N643="","",IF(AND(N643="수정",O643&lt;&gt;""),O643,J643))</f>
        <v/>
      </c>
      <c r="U643" s="28" t="str">
        <f aca="false">IF(N643="","",IF(AND(N643="수정",P643&lt;&gt;""),P643,K643))</f>
        <v/>
      </c>
      <c r="V643" s="28" t="str">
        <f aca="false">IF(N643="","",IF(N643="수정",IF(Q643&lt;&gt;"",Q643,IF(OR(U643="명시 없음",U643="유보",U643="절 아님"),"",L643)),L643))</f>
        <v/>
      </c>
    </row>
    <row r="644" customFormat="false" ht="15" hidden="false" customHeight="false" outlineLevel="0" collapsed="false">
      <c r="A644" s="24" t="s">
        <v>200</v>
      </c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5"/>
      <c r="O644" s="25"/>
      <c r="P644" s="25"/>
      <c r="Q644" s="25"/>
      <c r="R644" s="25"/>
      <c r="S644" s="25"/>
      <c r="T644" s="28" t="str">
        <f aca="false">IF(N644="","",IF(AND(N644="수정",O644&lt;&gt;""),O644,J644))</f>
        <v/>
      </c>
      <c r="U644" s="28" t="str">
        <f aca="false">IF(N644="","",IF(AND(N644="수정",P644&lt;&gt;""),P644,K644))</f>
        <v/>
      </c>
      <c r="V644" s="28" t="str">
        <f aca="false">IF(N644="","",IF(N644="수정",IF(Q644&lt;&gt;"",Q644,IF(OR(U644="명시 없음",U644="유보",U644="절 아님"),"",L644)),L644))</f>
        <v/>
      </c>
    </row>
    <row r="645" customFormat="false" ht="15" hidden="false" customHeight="false" outlineLevel="0" collapsed="false">
      <c r="A645" s="24" t="s">
        <v>200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5"/>
      <c r="O645" s="25"/>
      <c r="P645" s="25"/>
      <c r="Q645" s="25"/>
      <c r="R645" s="25"/>
      <c r="S645" s="25"/>
      <c r="T645" s="28" t="str">
        <f aca="false">IF(N645="","",IF(AND(N645="수정",O645&lt;&gt;""),O645,J645))</f>
        <v/>
      </c>
      <c r="U645" s="28" t="str">
        <f aca="false">IF(N645="","",IF(AND(N645="수정",P645&lt;&gt;""),P645,K645))</f>
        <v/>
      </c>
      <c r="V645" s="28" t="str">
        <f aca="false">IF(N645="","",IF(N645="수정",IF(Q645&lt;&gt;"",Q645,IF(OR(U645="명시 없음",U645="유보",U645="절 아님"),"",L645)),L645))</f>
        <v/>
      </c>
    </row>
    <row r="646" customFormat="false" ht="15" hidden="false" customHeight="false" outlineLevel="0" collapsed="false">
      <c r="A646" s="24" t="s">
        <v>200</v>
      </c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5"/>
      <c r="O646" s="25"/>
      <c r="P646" s="25"/>
      <c r="Q646" s="25"/>
      <c r="R646" s="25"/>
      <c r="S646" s="25"/>
      <c r="T646" s="28" t="str">
        <f aca="false">IF(N646="","",IF(AND(N646="수정",O646&lt;&gt;""),O646,J646))</f>
        <v/>
      </c>
      <c r="U646" s="28" t="str">
        <f aca="false">IF(N646="","",IF(AND(N646="수정",P646&lt;&gt;""),P646,K646))</f>
        <v/>
      </c>
      <c r="V646" s="28" t="str">
        <f aca="false">IF(N646="","",IF(N646="수정",IF(Q646&lt;&gt;"",Q646,IF(OR(U646="명시 없음",U646="유보",U646="절 아님"),"",L646)),L646))</f>
        <v/>
      </c>
    </row>
    <row r="647" customFormat="false" ht="15" hidden="false" customHeight="false" outlineLevel="0" collapsed="false">
      <c r="A647" s="24" t="s">
        <v>200</v>
      </c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5"/>
      <c r="O647" s="25"/>
      <c r="P647" s="25"/>
      <c r="Q647" s="25"/>
      <c r="R647" s="25"/>
      <c r="S647" s="25"/>
      <c r="T647" s="28" t="str">
        <f aca="false">IF(N647="","",IF(AND(N647="수정",O647&lt;&gt;""),O647,J647))</f>
        <v/>
      </c>
      <c r="U647" s="28" t="str">
        <f aca="false">IF(N647="","",IF(AND(N647="수정",P647&lt;&gt;""),P647,K647))</f>
        <v/>
      </c>
      <c r="V647" s="28" t="str">
        <f aca="false">IF(N647="","",IF(N647="수정",IF(Q647&lt;&gt;"",Q647,IF(OR(U647="명시 없음",U647="유보",U647="절 아님"),"",L647)),L647))</f>
        <v/>
      </c>
    </row>
    <row r="648" customFormat="false" ht="15" hidden="false" customHeight="false" outlineLevel="0" collapsed="false">
      <c r="A648" s="24" t="s">
        <v>200</v>
      </c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5"/>
      <c r="O648" s="25"/>
      <c r="P648" s="25"/>
      <c r="Q648" s="25"/>
      <c r="R648" s="25"/>
      <c r="S648" s="25"/>
      <c r="T648" s="28" t="str">
        <f aca="false">IF(N648="","",IF(AND(N648="수정",O648&lt;&gt;""),O648,J648))</f>
        <v/>
      </c>
      <c r="U648" s="28" t="str">
        <f aca="false">IF(N648="","",IF(AND(N648="수정",P648&lt;&gt;""),P648,K648))</f>
        <v/>
      </c>
      <c r="V648" s="28" t="str">
        <f aca="false">IF(N648="","",IF(N648="수정",IF(Q648&lt;&gt;"",Q648,IF(OR(U648="명시 없음",U648="유보",U648="절 아님"),"",L648)),L648))</f>
        <v/>
      </c>
    </row>
    <row r="649" customFormat="false" ht="15" hidden="false" customHeight="false" outlineLevel="0" collapsed="false">
      <c r="A649" s="24" t="s">
        <v>200</v>
      </c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5"/>
      <c r="O649" s="25"/>
      <c r="P649" s="25"/>
      <c r="Q649" s="25"/>
      <c r="R649" s="25"/>
      <c r="S649" s="25"/>
      <c r="T649" s="28" t="str">
        <f aca="false">IF(N649="","",IF(AND(N649="수정",O649&lt;&gt;""),O649,J649))</f>
        <v/>
      </c>
      <c r="U649" s="28" t="str">
        <f aca="false">IF(N649="","",IF(AND(N649="수정",P649&lt;&gt;""),P649,K649))</f>
        <v/>
      </c>
      <c r="V649" s="28" t="str">
        <f aca="false">IF(N649="","",IF(N649="수정",IF(Q649&lt;&gt;"",Q649,IF(OR(U649="명시 없음",U649="유보",U649="절 아님"),"",L649)),L649))</f>
        <v/>
      </c>
    </row>
    <row r="650" customFormat="false" ht="15" hidden="false" customHeight="false" outlineLevel="0" collapsed="false">
      <c r="A650" s="24" t="s">
        <v>200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5"/>
      <c r="O650" s="25"/>
      <c r="P650" s="25"/>
      <c r="Q650" s="25"/>
      <c r="R650" s="25"/>
      <c r="S650" s="25"/>
      <c r="T650" s="28" t="str">
        <f aca="false">IF(N650="","",IF(AND(N650="수정",O650&lt;&gt;""),O650,J650))</f>
        <v/>
      </c>
      <c r="U650" s="28" t="str">
        <f aca="false">IF(N650="","",IF(AND(N650="수정",P650&lt;&gt;""),P650,K650))</f>
        <v/>
      </c>
      <c r="V650" s="28" t="str">
        <f aca="false">IF(N650="","",IF(N650="수정",IF(Q650&lt;&gt;"",Q650,IF(OR(U650="명시 없음",U650="유보",U650="절 아님"),"",L650)),L650))</f>
        <v/>
      </c>
    </row>
    <row r="651" customFormat="false" ht="15" hidden="false" customHeight="false" outlineLevel="0" collapsed="false">
      <c r="A651" s="24" t="s">
        <v>200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5"/>
      <c r="O651" s="25"/>
      <c r="P651" s="25"/>
      <c r="Q651" s="25"/>
      <c r="R651" s="25"/>
      <c r="S651" s="25"/>
      <c r="T651" s="28" t="str">
        <f aca="false">IF(N651="","",IF(AND(N651="수정",O651&lt;&gt;""),O651,J651))</f>
        <v/>
      </c>
      <c r="U651" s="28" t="str">
        <f aca="false">IF(N651="","",IF(AND(N651="수정",P651&lt;&gt;""),P651,K651))</f>
        <v/>
      </c>
      <c r="V651" s="28" t="str">
        <f aca="false">IF(N651="","",IF(N651="수정",IF(Q651&lt;&gt;"",Q651,IF(OR(U651="명시 없음",U651="유보",U651="절 아님"),"",L651)),L651))</f>
        <v/>
      </c>
    </row>
    <row r="652" customFormat="false" ht="15" hidden="false" customHeight="false" outlineLevel="0" collapsed="false">
      <c r="A652" s="24" t="s">
        <v>200</v>
      </c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5"/>
      <c r="O652" s="25"/>
      <c r="P652" s="25"/>
      <c r="Q652" s="25"/>
      <c r="R652" s="25"/>
      <c r="S652" s="25"/>
      <c r="T652" s="28" t="str">
        <f aca="false">IF(N652="","",IF(AND(N652="수정",O652&lt;&gt;""),O652,J652))</f>
        <v/>
      </c>
      <c r="U652" s="28" t="str">
        <f aca="false">IF(N652="","",IF(AND(N652="수정",P652&lt;&gt;""),P652,K652))</f>
        <v/>
      </c>
      <c r="V652" s="28" t="str">
        <f aca="false">IF(N652="","",IF(N652="수정",IF(Q652&lt;&gt;"",Q652,IF(OR(U652="명시 없음",U652="유보",U652="절 아님"),"",L652)),L652))</f>
        <v/>
      </c>
    </row>
    <row r="653" customFormat="false" ht="15" hidden="false" customHeight="false" outlineLevel="0" collapsed="false">
      <c r="A653" s="24" t="s">
        <v>200</v>
      </c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5"/>
      <c r="O653" s="25"/>
      <c r="P653" s="25"/>
      <c r="Q653" s="25"/>
      <c r="R653" s="25"/>
      <c r="S653" s="25"/>
      <c r="T653" s="28" t="str">
        <f aca="false">IF(N653="","",IF(AND(N653="수정",O653&lt;&gt;""),O653,J653))</f>
        <v/>
      </c>
      <c r="U653" s="28" t="str">
        <f aca="false">IF(N653="","",IF(AND(N653="수정",P653&lt;&gt;""),P653,K653))</f>
        <v/>
      </c>
      <c r="V653" s="28" t="str">
        <f aca="false">IF(N653="","",IF(N653="수정",IF(Q653&lt;&gt;"",Q653,IF(OR(U653="명시 없음",U653="유보",U653="절 아님"),"",L653)),L653))</f>
        <v/>
      </c>
    </row>
    <row r="654" customFormat="false" ht="15" hidden="false" customHeight="false" outlineLevel="0" collapsed="false">
      <c r="A654" s="24" t="s">
        <v>200</v>
      </c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5"/>
      <c r="O654" s="25"/>
      <c r="P654" s="25"/>
      <c r="Q654" s="25"/>
      <c r="R654" s="25"/>
      <c r="S654" s="25"/>
      <c r="T654" s="28" t="str">
        <f aca="false">IF(N654="","",IF(AND(N654="수정",O654&lt;&gt;""),O654,J654))</f>
        <v/>
      </c>
      <c r="U654" s="28" t="str">
        <f aca="false">IF(N654="","",IF(AND(N654="수정",P654&lt;&gt;""),P654,K654))</f>
        <v/>
      </c>
      <c r="V654" s="28" t="str">
        <f aca="false">IF(N654="","",IF(N654="수정",IF(Q654&lt;&gt;"",Q654,IF(OR(U654="명시 없음",U654="유보",U654="절 아님"),"",L654)),L654))</f>
        <v/>
      </c>
    </row>
    <row r="655" customFormat="false" ht="15" hidden="false" customHeight="false" outlineLevel="0" collapsed="false">
      <c r="A655" s="24" t="s">
        <v>200</v>
      </c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5"/>
      <c r="O655" s="25"/>
      <c r="P655" s="25"/>
      <c r="Q655" s="25"/>
      <c r="R655" s="25"/>
      <c r="S655" s="25"/>
      <c r="T655" s="28" t="str">
        <f aca="false">IF(N655="","",IF(AND(N655="수정",O655&lt;&gt;""),O655,J655))</f>
        <v/>
      </c>
      <c r="U655" s="28" t="str">
        <f aca="false">IF(N655="","",IF(AND(N655="수정",P655&lt;&gt;""),P655,K655))</f>
        <v/>
      </c>
      <c r="V655" s="28" t="str">
        <f aca="false">IF(N655="","",IF(N655="수정",IF(Q655&lt;&gt;"",Q655,IF(OR(U655="명시 없음",U655="유보",U655="절 아님"),"",L655)),L655))</f>
        <v/>
      </c>
    </row>
    <row r="656" customFormat="false" ht="15" hidden="false" customHeight="false" outlineLevel="0" collapsed="false">
      <c r="A656" s="24" t="s">
        <v>200</v>
      </c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5"/>
      <c r="O656" s="25"/>
      <c r="P656" s="25"/>
      <c r="Q656" s="25"/>
      <c r="R656" s="25"/>
      <c r="S656" s="25"/>
      <c r="T656" s="28" t="str">
        <f aca="false">IF(N656="","",IF(AND(N656="수정",O656&lt;&gt;""),O656,J656))</f>
        <v/>
      </c>
      <c r="U656" s="28" t="str">
        <f aca="false">IF(N656="","",IF(AND(N656="수정",P656&lt;&gt;""),P656,K656))</f>
        <v/>
      </c>
      <c r="V656" s="28" t="str">
        <f aca="false">IF(N656="","",IF(N656="수정",IF(Q656&lt;&gt;"",Q656,IF(OR(U656="명시 없음",U656="유보",U656="절 아님"),"",L656)),L656))</f>
        <v/>
      </c>
    </row>
    <row r="657" customFormat="false" ht="15" hidden="false" customHeight="false" outlineLevel="0" collapsed="false">
      <c r="A657" s="24" t="s">
        <v>200</v>
      </c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5"/>
      <c r="O657" s="25"/>
      <c r="P657" s="25"/>
      <c r="Q657" s="25"/>
      <c r="R657" s="25"/>
      <c r="S657" s="25"/>
      <c r="T657" s="28" t="str">
        <f aca="false">IF(N657="","",IF(AND(N657="수정",O657&lt;&gt;""),O657,J657))</f>
        <v/>
      </c>
      <c r="U657" s="28" t="str">
        <f aca="false">IF(N657="","",IF(AND(N657="수정",P657&lt;&gt;""),P657,K657))</f>
        <v/>
      </c>
      <c r="V657" s="28" t="str">
        <f aca="false">IF(N657="","",IF(N657="수정",IF(Q657&lt;&gt;"",Q657,IF(OR(U657="명시 없음",U657="유보",U657="절 아님"),"",L657)),L657))</f>
        <v/>
      </c>
    </row>
    <row r="658" customFormat="false" ht="15" hidden="false" customHeight="false" outlineLevel="0" collapsed="false">
      <c r="A658" s="24" t="s">
        <v>200</v>
      </c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5"/>
      <c r="O658" s="25"/>
      <c r="P658" s="25"/>
      <c r="Q658" s="25"/>
      <c r="R658" s="25"/>
      <c r="S658" s="25"/>
      <c r="T658" s="28" t="str">
        <f aca="false">IF(N658="","",IF(AND(N658="수정",O658&lt;&gt;""),O658,J658))</f>
        <v/>
      </c>
      <c r="U658" s="28" t="str">
        <f aca="false">IF(N658="","",IF(AND(N658="수정",P658&lt;&gt;""),P658,K658))</f>
        <v/>
      </c>
      <c r="V658" s="28" t="str">
        <f aca="false">IF(N658="","",IF(N658="수정",IF(Q658&lt;&gt;"",Q658,IF(OR(U658="명시 없음",U658="유보",U658="절 아님"),"",L658)),L658))</f>
        <v/>
      </c>
    </row>
    <row r="659" customFormat="false" ht="15" hidden="false" customHeight="false" outlineLevel="0" collapsed="false">
      <c r="A659" s="24" t="s">
        <v>200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5"/>
      <c r="O659" s="25"/>
      <c r="P659" s="25"/>
      <c r="Q659" s="25"/>
      <c r="R659" s="25"/>
      <c r="S659" s="25"/>
      <c r="T659" s="28" t="str">
        <f aca="false">IF(N659="","",IF(AND(N659="수정",O659&lt;&gt;""),O659,J659))</f>
        <v/>
      </c>
      <c r="U659" s="28" t="str">
        <f aca="false">IF(N659="","",IF(AND(N659="수정",P659&lt;&gt;""),P659,K659))</f>
        <v/>
      </c>
      <c r="V659" s="28" t="str">
        <f aca="false">IF(N659="","",IF(N659="수정",IF(Q659&lt;&gt;"",Q659,IF(OR(U659="명시 없음",U659="유보",U659="절 아님"),"",L659)),L659))</f>
        <v/>
      </c>
    </row>
    <row r="660" customFormat="false" ht="15" hidden="false" customHeight="false" outlineLevel="0" collapsed="false">
      <c r="A660" s="24" t="s">
        <v>200</v>
      </c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5"/>
      <c r="O660" s="25"/>
      <c r="P660" s="25"/>
      <c r="Q660" s="25"/>
      <c r="R660" s="25"/>
      <c r="S660" s="25"/>
      <c r="T660" s="28" t="str">
        <f aca="false">IF(N660="","",IF(AND(N660="수정",O660&lt;&gt;""),O660,J660))</f>
        <v/>
      </c>
      <c r="U660" s="28" t="str">
        <f aca="false">IF(N660="","",IF(AND(N660="수정",P660&lt;&gt;""),P660,K660))</f>
        <v/>
      </c>
      <c r="V660" s="28" t="str">
        <f aca="false">IF(N660="","",IF(N660="수정",IF(Q660&lt;&gt;"",Q660,IF(OR(U660="명시 없음",U660="유보",U660="절 아님"),"",L660)),L660))</f>
        <v/>
      </c>
    </row>
    <row r="661" customFormat="false" ht="15" hidden="false" customHeight="false" outlineLevel="0" collapsed="false">
      <c r="A661" s="24" t="s">
        <v>200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5"/>
      <c r="O661" s="25"/>
      <c r="P661" s="25"/>
      <c r="Q661" s="25"/>
      <c r="R661" s="25"/>
      <c r="S661" s="25"/>
      <c r="T661" s="28" t="str">
        <f aca="false">IF(N661="","",IF(AND(N661="수정",O661&lt;&gt;""),O661,J661))</f>
        <v/>
      </c>
      <c r="U661" s="28" t="str">
        <f aca="false">IF(N661="","",IF(AND(N661="수정",P661&lt;&gt;""),P661,K661))</f>
        <v/>
      </c>
      <c r="V661" s="28" t="str">
        <f aca="false">IF(N661="","",IF(N661="수정",IF(Q661&lt;&gt;"",Q661,IF(OR(U661="명시 없음",U661="유보",U661="절 아님"),"",L661)),L661))</f>
        <v/>
      </c>
    </row>
    <row r="662" customFormat="false" ht="15" hidden="false" customHeight="false" outlineLevel="0" collapsed="false">
      <c r="A662" s="24" t="s">
        <v>200</v>
      </c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5"/>
      <c r="O662" s="25"/>
      <c r="P662" s="25"/>
      <c r="Q662" s="25"/>
      <c r="R662" s="25"/>
      <c r="S662" s="25"/>
      <c r="T662" s="28" t="str">
        <f aca="false">IF(N662="","",IF(AND(N662="수정",O662&lt;&gt;""),O662,J662))</f>
        <v/>
      </c>
      <c r="U662" s="28" t="str">
        <f aca="false">IF(N662="","",IF(AND(N662="수정",P662&lt;&gt;""),P662,K662))</f>
        <v/>
      </c>
      <c r="V662" s="28" t="str">
        <f aca="false">IF(N662="","",IF(N662="수정",IF(Q662&lt;&gt;"",Q662,IF(OR(U662="명시 없음",U662="유보",U662="절 아님"),"",L662)),L662))</f>
        <v/>
      </c>
    </row>
    <row r="663" customFormat="false" ht="15" hidden="false" customHeight="false" outlineLevel="0" collapsed="false">
      <c r="A663" s="24" t="s">
        <v>200</v>
      </c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5"/>
      <c r="O663" s="25"/>
      <c r="P663" s="25"/>
      <c r="Q663" s="25"/>
      <c r="R663" s="25"/>
      <c r="S663" s="25"/>
      <c r="T663" s="28" t="str">
        <f aca="false">IF(N663="","",IF(AND(N663="수정",O663&lt;&gt;""),O663,J663))</f>
        <v/>
      </c>
      <c r="U663" s="28" t="str">
        <f aca="false">IF(N663="","",IF(AND(N663="수정",P663&lt;&gt;""),P663,K663))</f>
        <v/>
      </c>
      <c r="V663" s="28" t="str">
        <f aca="false">IF(N663="","",IF(N663="수정",IF(Q663&lt;&gt;"",Q663,IF(OR(U663="명시 없음",U663="유보",U663="절 아님"),"",L663)),L663))</f>
        <v/>
      </c>
    </row>
    <row r="664" customFormat="false" ht="15" hidden="false" customHeight="false" outlineLevel="0" collapsed="false">
      <c r="A664" s="24" t="s">
        <v>200</v>
      </c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5"/>
      <c r="O664" s="25"/>
      <c r="P664" s="25"/>
      <c r="Q664" s="25"/>
      <c r="R664" s="25"/>
      <c r="S664" s="25"/>
      <c r="T664" s="28" t="str">
        <f aca="false">IF(N664="","",IF(AND(N664="수정",O664&lt;&gt;""),O664,J664))</f>
        <v/>
      </c>
      <c r="U664" s="28" t="str">
        <f aca="false">IF(N664="","",IF(AND(N664="수정",P664&lt;&gt;""),P664,K664))</f>
        <v/>
      </c>
      <c r="V664" s="28" t="str">
        <f aca="false">IF(N664="","",IF(N664="수정",IF(Q664&lt;&gt;"",Q664,IF(OR(U664="명시 없음",U664="유보",U664="절 아님"),"",L664)),L664))</f>
        <v/>
      </c>
    </row>
    <row r="665" customFormat="false" ht="15" hidden="false" customHeight="false" outlineLevel="0" collapsed="false">
      <c r="A665" s="24" t="s">
        <v>200</v>
      </c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5"/>
      <c r="O665" s="25"/>
      <c r="P665" s="25"/>
      <c r="Q665" s="25"/>
      <c r="R665" s="25"/>
      <c r="S665" s="25"/>
      <c r="T665" s="28" t="str">
        <f aca="false">IF(N665="","",IF(AND(N665="수정",O665&lt;&gt;""),O665,J665))</f>
        <v/>
      </c>
      <c r="U665" s="28" t="str">
        <f aca="false">IF(N665="","",IF(AND(N665="수정",P665&lt;&gt;""),P665,K665))</f>
        <v/>
      </c>
      <c r="V665" s="28" t="str">
        <f aca="false">IF(N665="","",IF(N665="수정",IF(Q665&lt;&gt;"",Q665,IF(OR(U665="명시 없음",U665="유보",U665="절 아님"),"",L665)),L665))</f>
        <v/>
      </c>
    </row>
    <row r="666" customFormat="false" ht="15" hidden="false" customHeight="false" outlineLevel="0" collapsed="false">
      <c r="A666" s="24" t="s">
        <v>200</v>
      </c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5"/>
      <c r="O666" s="25"/>
      <c r="P666" s="25"/>
      <c r="Q666" s="25"/>
      <c r="R666" s="25"/>
      <c r="S666" s="25"/>
      <c r="T666" s="28" t="str">
        <f aca="false">IF(N666="","",IF(AND(N666="수정",O666&lt;&gt;""),O666,J666))</f>
        <v/>
      </c>
      <c r="U666" s="28" t="str">
        <f aca="false">IF(N666="","",IF(AND(N666="수정",P666&lt;&gt;""),P666,K666))</f>
        <v/>
      </c>
      <c r="V666" s="28" t="str">
        <f aca="false">IF(N666="","",IF(N666="수정",IF(Q666&lt;&gt;"",Q666,IF(OR(U666="명시 없음",U666="유보",U666="절 아님"),"",L666)),L666))</f>
        <v/>
      </c>
    </row>
    <row r="667" customFormat="false" ht="15" hidden="false" customHeight="false" outlineLevel="0" collapsed="false">
      <c r="A667" s="24" t="s">
        <v>200</v>
      </c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5"/>
      <c r="O667" s="25"/>
      <c r="P667" s="25"/>
      <c r="Q667" s="25"/>
      <c r="R667" s="25"/>
      <c r="S667" s="25"/>
      <c r="T667" s="28" t="str">
        <f aca="false">IF(N667="","",IF(AND(N667="수정",O667&lt;&gt;""),O667,J667))</f>
        <v/>
      </c>
      <c r="U667" s="28" t="str">
        <f aca="false">IF(N667="","",IF(AND(N667="수정",P667&lt;&gt;""),P667,K667))</f>
        <v/>
      </c>
      <c r="V667" s="28" t="str">
        <f aca="false">IF(N667="","",IF(N667="수정",IF(Q667&lt;&gt;"",Q667,IF(OR(U667="명시 없음",U667="유보",U667="절 아님"),"",L667)),L667))</f>
        <v/>
      </c>
    </row>
    <row r="668" customFormat="false" ht="15" hidden="false" customHeight="false" outlineLevel="0" collapsed="false">
      <c r="A668" s="24" t="s">
        <v>200</v>
      </c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5"/>
      <c r="O668" s="25"/>
      <c r="P668" s="25"/>
      <c r="Q668" s="25"/>
      <c r="R668" s="25"/>
      <c r="S668" s="25"/>
      <c r="T668" s="28" t="str">
        <f aca="false">IF(N668="","",IF(AND(N668="수정",O668&lt;&gt;""),O668,J668))</f>
        <v/>
      </c>
      <c r="U668" s="28" t="str">
        <f aca="false">IF(N668="","",IF(AND(N668="수정",P668&lt;&gt;""),P668,K668))</f>
        <v/>
      </c>
      <c r="V668" s="28" t="str">
        <f aca="false">IF(N668="","",IF(N668="수정",IF(Q668&lt;&gt;"",Q668,IF(OR(U668="명시 없음",U668="유보",U668="절 아님"),"",L668)),L668))</f>
        <v/>
      </c>
    </row>
    <row r="669" customFormat="false" ht="15" hidden="false" customHeight="false" outlineLevel="0" collapsed="false">
      <c r="A669" s="24" t="s">
        <v>200</v>
      </c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5"/>
      <c r="O669" s="25"/>
      <c r="P669" s="25"/>
      <c r="Q669" s="25"/>
      <c r="R669" s="25"/>
      <c r="S669" s="25"/>
      <c r="T669" s="28" t="str">
        <f aca="false">IF(N669="","",IF(AND(N669="수정",O669&lt;&gt;""),O669,J669))</f>
        <v/>
      </c>
      <c r="U669" s="28" t="str">
        <f aca="false">IF(N669="","",IF(AND(N669="수정",P669&lt;&gt;""),P669,K669))</f>
        <v/>
      </c>
      <c r="V669" s="28" t="str">
        <f aca="false">IF(N669="","",IF(N669="수정",IF(Q669&lt;&gt;"",Q669,IF(OR(U669="명시 없음",U669="유보",U669="절 아님"),"",L669)),L669))</f>
        <v/>
      </c>
    </row>
    <row r="670" customFormat="false" ht="15" hidden="false" customHeight="false" outlineLevel="0" collapsed="false">
      <c r="A670" s="24" t="s">
        <v>200</v>
      </c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5"/>
      <c r="O670" s="25"/>
      <c r="P670" s="25"/>
      <c r="Q670" s="25"/>
      <c r="R670" s="25"/>
      <c r="S670" s="25"/>
      <c r="T670" s="28" t="str">
        <f aca="false">IF(N670="","",IF(AND(N670="수정",O670&lt;&gt;""),O670,J670))</f>
        <v/>
      </c>
      <c r="U670" s="28" t="str">
        <f aca="false">IF(N670="","",IF(AND(N670="수정",P670&lt;&gt;""),P670,K670))</f>
        <v/>
      </c>
      <c r="V670" s="28" t="str">
        <f aca="false">IF(N670="","",IF(N670="수정",IF(Q670&lt;&gt;"",Q670,IF(OR(U670="명시 없음",U670="유보",U670="절 아님"),"",L670)),L670))</f>
        <v/>
      </c>
    </row>
    <row r="671" customFormat="false" ht="15" hidden="false" customHeight="false" outlineLevel="0" collapsed="false">
      <c r="A671" s="24" t="s">
        <v>200</v>
      </c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5"/>
      <c r="O671" s="25"/>
      <c r="P671" s="25"/>
      <c r="Q671" s="25"/>
      <c r="R671" s="25"/>
      <c r="S671" s="25"/>
      <c r="T671" s="28" t="str">
        <f aca="false">IF(N671="","",IF(AND(N671="수정",O671&lt;&gt;""),O671,J671))</f>
        <v/>
      </c>
      <c r="U671" s="28" t="str">
        <f aca="false">IF(N671="","",IF(AND(N671="수정",P671&lt;&gt;""),P671,K671))</f>
        <v/>
      </c>
      <c r="V671" s="28" t="str">
        <f aca="false">IF(N671="","",IF(N671="수정",IF(Q671&lt;&gt;"",Q671,IF(OR(U671="명시 없음",U671="유보",U671="절 아님"),"",L671)),L671))</f>
        <v/>
      </c>
    </row>
    <row r="672" customFormat="false" ht="15" hidden="false" customHeight="false" outlineLevel="0" collapsed="false">
      <c r="A672" s="24" t="s">
        <v>200</v>
      </c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5"/>
      <c r="O672" s="25"/>
      <c r="P672" s="25"/>
      <c r="Q672" s="25"/>
      <c r="R672" s="25"/>
      <c r="S672" s="25"/>
      <c r="T672" s="28" t="str">
        <f aca="false">IF(N672="","",IF(AND(N672="수정",O672&lt;&gt;""),O672,J672))</f>
        <v/>
      </c>
      <c r="U672" s="28" t="str">
        <f aca="false">IF(N672="","",IF(AND(N672="수정",P672&lt;&gt;""),P672,K672))</f>
        <v/>
      </c>
      <c r="V672" s="28" t="str">
        <f aca="false">IF(N672="","",IF(N672="수정",IF(Q672&lt;&gt;"",Q672,IF(OR(U672="명시 없음",U672="유보",U672="절 아님"),"",L672)),L672))</f>
        <v/>
      </c>
    </row>
    <row r="673" customFormat="false" ht="15" hidden="false" customHeight="false" outlineLevel="0" collapsed="false">
      <c r="A673" s="24" t="s">
        <v>200</v>
      </c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5"/>
      <c r="O673" s="25"/>
      <c r="P673" s="25"/>
      <c r="Q673" s="25"/>
      <c r="R673" s="25"/>
      <c r="S673" s="25"/>
      <c r="T673" s="28" t="str">
        <f aca="false">IF(N673="","",IF(AND(N673="수정",O673&lt;&gt;""),O673,J673))</f>
        <v/>
      </c>
      <c r="U673" s="28" t="str">
        <f aca="false">IF(N673="","",IF(AND(N673="수정",P673&lt;&gt;""),P673,K673))</f>
        <v/>
      </c>
      <c r="V673" s="28" t="str">
        <f aca="false">IF(N673="","",IF(N673="수정",IF(Q673&lt;&gt;"",Q673,IF(OR(U673="명시 없음",U673="유보",U673="절 아님"),"",L673)),L673))</f>
        <v/>
      </c>
    </row>
    <row r="674" customFormat="false" ht="15" hidden="false" customHeight="false" outlineLevel="0" collapsed="false">
      <c r="A674" s="24" t="s">
        <v>200</v>
      </c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5"/>
      <c r="O674" s="25"/>
      <c r="P674" s="25"/>
      <c r="Q674" s="25"/>
      <c r="R674" s="25"/>
      <c r="S674" s="25"/>
      <c r="T674" s="28" t="str">
        <f aca="false">IF(N674="","",IF(AND(N674="수정",O674&lt;&gt;""),O674,J674))</f>
        <v/>
      </c>
      <c r="U674" s="28" t="str">
        <f aca="false">IF(N674="","",IF(AND(N674="수정",P674&lt;&gt;""),P674,K674))</f>
        <v/>
      </c>
      <c r="V674" s="28" t="str">
        <f aca="false">IF(N674="","",IF(N674="수정",IF(Q674&lt;&gt;"",Q674,IF(OR(U674="명시 없음",U674="유보",U674="절 아님"),"",L674)),L674))</f>
        <v/>
      </c>
    </row>
    <row r="675" customFormat="false" ht="15" hidden="false" customHeight="false" outlineLevel="0" collapsed="false">
      <c r="A675" s="24" t="s">
        <v>200</v>
      </c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5"/>
      <c r="O675" s="25"/>
      <c r="P675" s="25"/>
      <c r="Q675" s="25"/>
      <c r="R675" s="25"/>
      <c r="S675" s="25"/>
      <c r="T675" s="28" t="str">
        <f aca="false">IF(N675="","",IF(AND(N675="수정",O675&lt;&gt;""),O675,J675))</f>
        <v/>
      </c>
      <c r="U675" s="28" t="str">
        <f aca="false">IF(N675="","",IF(AND(N675="수정",P675&lt;&gt;""),P675,K675))</f>
        <v/>
      </c>
      <c r="V675" s="28" t="str">
        <f aca="false">IF(N675="","",IF(N675="수정",IF(Q675&lt;&gt;"",Q675,IF(OR(U675="명시 없음",U675="유보",U675="절 아님"),"",L675)),L675))</f>
        <v/>
      </c>
    </row>
    <row r="676" customFormat="false" ht="15" hidden="false" customHeight="false" outlineLevel="0" collapsed="false">
      <c r="A676" s="24" t="s">
        <v>200</v>
      </c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5"/>
      <c r="O676" s="25"/>
      <c r="P676" s="25"/>
      <c r="Q676" s="25"/>
      <c r="R676" s="25"/>
      <c r="S676" s="25"/>
      <c r="T676" s="28" t="str">
        <f aca="false">IF(N676="","",IF(AND(N676="수정",O676&lt;&gt;""),O676,J676))</f>
        <v/>
      </c>
      <c r="U676" s="28" t="str">
        <f aca="false">IF(N676="","",IF(AND(N676="수정",P676&lt;&gt;""),P676,K676))</f>
        <v/>
      </c>
      <c r="V676" s="28" t="str">
        <f aca="false">IF(N676="","",IF(N676="수정",IF(Q676&lt;&gt;"",Q676,IF(OR(U676="명시 없음",U676="유보",U676="절 아님"),"",L676)),L676))</f>
        <v/>
      </c>
    </row>
    <row r="677" customFormat="false" ht="15" hidden="false" customHeight="false" outlineLevel="0" collapsed="false">
      <c r="A677" s="24" t="s">
        <v>200</v>
      </c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5"/>
      <c r="O677" s="25"/>
      <c r="P677" s="25"/>
      <c r="Q677" s="25"/>
      <c r="R677" s="25"/>
      <c r="S677" s="25"/>
      <c r="T677" s="28" t="str">
        <f aca="false">IF(N677="","",IF(AND(N677="수정",O677&lt;&gt;""),O677,J677))</f>
        <v/>
      </c>
      <c r="U677" s="28" t="str">
        <f aca="false">IF(N677="","",IF(AND(N677="수정",P677&lt;&gt;""),P677,K677))</f>
        <v/>
      </c>
      <c r="V677" s="28" t="str">
        <f aca="false">IF(N677="","",IF(N677="수정",IF(Q677&lt;&gt;"",Q677,IF(OR(U677="명시 없음",U677="유보",U677="절 아님"),"",L677)),L677))</f>
        <v/>
      </c>
    </row>
    <row r="678" customFormat="false" ht="15" hidden="false" customHeight="false" outlineLevel="0" collapsed="false">
      <c r="A678" s="24" t="s">
        <v>200</v>
      </c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5"/>
      <c r="O678" s="25"/>
      <c r="P678" s="25"/>
      <c r="Q678" s="25"/>
      <c r="R678" s="25"/>
      <c r="S678" s="25"/>
      <c r="T678" s="28" t="str">
        <f aca="false">IF(N678="","",IF(AND(N678="수정",O678&lt;&gt;""),O678,J678))</f>
        <v/>
      </c>
      <c r="U678" s="28" t="str">
        <f aca="false">IF(N678="","",IF(AND(N678="수정",P678&lt;&gt;""),P678,K678))</f>
        <v/>
      </c>
      <c r="V678" s="28" t="str">
        <f aca="false">IF(N678="","",IF(N678="수정",IF(Q678&lt;&gt;"",Q678,IF(OR(U678="명시 없음",U678="유보",U678="절 아님"),"",L678)),L678))</f>
        <v/>
      </c>
    </row>
    <row r="679" customFormat="false" ht="15" hidden="false" customHeight="false" outlineLevel="0" collapsed="false">
      <c r="A679" s="24" t="s">
        <v>200</v>
      </c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5"/>
      <c r="O679" s="25"/>
      <c r="P679" s="25"/>
      <c r="Q679" s="25"/>
      <c r="R679" s="25"/>
      <c r="S679" s="25"/>
      <c r="T679" s="28" t="str">
        <f aca="false">IF(N679="","",IF(AND(N679="수정",O679&lt;&gt;""),O679,J679))</f>
        <v/>
      </c>
      <c r="U679" s="28" t="str">
        <f aca="false">IF(N679="","",IF(AND(N679="수정",P679&lt;&gt;""),P679,K679))</f>
        <v/>
      </c>
      <c r="V679" s="28" t="str">
        <f aca="false">IF(N679="","",IF(N679="수정",IF(Q679&lt;&gt;"",Q679,IF(OR(U679="명시 없음",U679="유보",U679="절 아님"),"",L679)),L679))</f>
        <v/>
      </c>
    </row>
    <row r="680" customFormat="false" ht="15" hidden="false" customHeight="false" outlineLevel="0" collapsed="false">
      <c r="A680" s="24" t="s">
        <v>200</v>
      </c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5"/>
      <c r="O680" s="25"/>
      <c r="P680" s="25"/>
      <c r="Q680" s="25"/>
      <c r="R680" s="25"/>
      <c r="S680" s="25"/>
      <c r="T680" s="28" t="str">
        <f aca="false">IF(N680="","",IF(AND(N680="수정",O680&lt;&gt;""),O680,J680))</f>
        <v/>
      </c>
      <c r="U680" s="28" t="str">
        <f aca="false">IF(N680="","",IF(AND(N680="수정",P680&lt;&gt;""),P680,K680))</f>
        <v/>
      </c>
      <c r="V680" s="28" t="str">
        <f aca="false">IF(N680="","",IF(N680="수정",IF(Q680&lt;&gt;"",Q680,IF(OR(U680="명시 없음",U680="유보",U680="절 아님"),"",L680)),L680))</f>
        <v/>
      </c>
    </row>
    <row r="681" customFormat="false" ht="15" hidden="false" customHeight="false" outlineLevel="0" collapsed="false">
      <c r="A681" s="24" t="s">
        <v>200</v>
      </c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5"/>
      <c r="O681" s="25"/>
      <c r="P681" s="25"/>
      <c r="Q681" s="25"/>
      <c r="R681" s="25"/>
      <c r="S681" s="25"/>
      <c r="T681" s="28" t="str">
        <f aca="false">IF(N681="","",IF(AND(N681="수정",O681&lt;&gt;""),O681,J681))</f>
        <v/>
      </c>
      <c r="U681" s="28" t="str">
        <f aca="false">IF(N681="","",IF(AND(N681="수정",P681&lt;&gt;""),P681,K681))</f>
        <v/>
      </c>
      <c r="V681" s="28" t="str">
        <f aca="false">IF(N681="","",IF(N681="수정",IF(Q681&lt;&gt;"",Q681,IF(OR(U681="명시 없음",U681="유보",U681="절 아님"),"",L681)),L681))</f>
        <v/>
      </c>
    </row>
    <row r="682" customFormat="false" ht="15" hidden="false" customHeight="false" outlineLevel="0" collapsed="false">
      <c r="A682" s="24" t="s">
        <v>200</v>
      </c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5"/>
      <c r="O682" s="25"/>
      <c r="P682" s="25"/>
      <c r="Q682" s="25"/>
      <c r="R682" s="25"/>
      <c r="S682" s="25"/>
      <c r="T682" s="28" t="str">
        <f aca="false">IF(N682="","",IF(AND(N682="수정",O682&lt;&gt;""),O682,J682))</f>
        <v/>
      </c>
      <c r="U682" s="28" t="str">
        <f aca="false">IF(N682="","",IF(AND(N682="수정",P682&lt;&gt;""),P682,K682))</f>
        <v/>
      </c>
      <c r="V682" s="28" t="str">
        <f aca="false">IF(N682="","",IF(N682="수정",IF(Q682&lt;&gt;"",Q682,IF(OR(U682="명시 없음",U682="유보",U682="절 아님"),"",L682)),L682))</f>
        <v/>
      </c>
    </row>
    <row r="683" customFormat="false" ht="15" hidden="false" customHeight="false" outlineLevel="0" collapsed="false">
      <c r="A683" s="24" t="s">
        <v>200</v>
      </c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5"/>
      <c r="O683" s="25"/>
      <c r="P683" s="25"/>
      <c r="Q683" s="25"/>
      <c r="R683" s="25"/>
      <c r="S683" s="25"/>
      <c r="T683" s="28" t="str">
        <f aca="false">IF(N683="","",IF(AND(N683="수정",O683&lt;&gt;""),O683,J683))</f>
        <v/>
      </c>
      <c r="U683" s="28" t="str">
        <f aca="false">IF(N683="","",IF(AND(N683="수정",P683&lt;&gt;""),P683,K683))</f>
        <v/>
      </c>
      <c r="V683" s="28" t="str">
        <f aca="false">IF(N683="","",IF(N683="수정",IF(Q683&lt;&gt;"",Q683,IF(OR(U683="명시 없음",U683="유보",U683="절 아님"),"",L683)),L683))</f>
        <v/>
      </c>
    </row>
    <row r="684" customFormat="false" ht="15" hidden="false" customHeight="false" outlineLevel="0" collapsed="false">
      <c r="A684" s="24" t="s">
        <v>200</v>
      </c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5"/>
      <c r="O684" s="25"/>
      <c r="P684" s="25"/>
      <c r="Q684" s="25"/>
      <c r="R684" s="25"/>
      <c r="S684" s="25"/>
      <c r="T684" s="28" t="str">
        <f aca="false">IF(N684="","",IF(AND(N684="수정",O684&lt;&gt;""),O684,J684))</f>
        <v/>
      </c>
      <c r="U684" s="28" t="str">
        <f aca="false">IF(N684="","",IF(AND(N684="수정",P684&lt;&gt;""),P684,K684))</f>
        <v/>
      </c>
      <c r="V684" s="28" t="str">
        <f aca="false">IF(N684="","",IF(N684="수정",IF(Q684&lt;&gt;"",Q684,IF(OR(U684="명시 없음",U684="유보",U684="절 아님"),"",L684)),L684))</f>
        <v/>
      </c>
    </row>
    <row r="685" customFormat="false" ht="15" hidden="false" customHeight="false" outlineLevel="0" collapsed="false">
      <c r="A685" s="24" t="s">
        <v>200</v>
      </c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5"/>
      <c r="O685" s="25"/>
      <c r="P685" s="25"/>
      <c r="Q685" s="25"/>
      <c r="R685" s="25"/>
      <c r="S685" s="25"/>
      <c r="T685" s="28" t="str">
        <f aca="false">IF(N685="","",IF(AND(N685="수정",O685&lt;&gt;""),O685,J685))</f>
        <v/>
      </c>
      <c r="U685" s="28" t="str">
        <f aca="false">IF(N685="","",IF(AND(N685="수정",P685&lt;&gt;""),P685,K685))</f>
        <v/>
      </c>
      <c r="V685" s="28" t="str">
        <f aca="false">IF(N685="","",IF(N685="수정",IF(Q685&lt;&gt;"",Q685,IF(OR(U685="명시 없음",U685="유보",U685="절 아님"),"",L685)),L685))</f>
        <v/>
      </c>
    </row>
    <row r="686" customFormat="false" ht="15" hidden="false" customHeight="false" outlineLevel="0" collapsed="false">
      <c r="A686" s="24" t="s">
        <v>200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5"/>
      <c r="O686" s="25"/>
      <c r="P686" s="25"/>
      <c r="Q686" s="25"/>
      <c r="R686" s="25"/>
      <c r="S686" s="25"/>
      <c r="T686" s="28" t="str">
        <f aca="false">IF(N686="","",IF(AND(N686="수정",O686&lt;&gt;""),O686,J686))</f>
        <v/>
      </c>
      <c r="U686" s="28" t="str">
        <f aca="false">IF(N686="","",IF(AND(N686="수정",P686&lt;&gt;""),P686,K686))</f>
        <v/>
      </c>
      <c r="V686" s="28" t="str">
        <f aca="false">IF(N686="","",IF(N686="수정",IF(Q686&lt;&gt;"",Q686,IF(OR(U686="명시 없음",U686="유보",U686="절 아님"),"",L686)),L686))</f>
        <v/>
      </c>
    </row>
    <row r="687" customFormat="false" ht="15" hidden="false" customHeight="false" outlineLevel="0" collapsed="false">
      <c r="A687" s="24" t="s">
        <v>200</v>
      </c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5"/>
      <c r="O687" s="25"/>
      <c r="P687" s="25"/>
      <c r="Q687" s="25"/>
      <c r="R687" s="25"/>
      <c r="S687" s="25"/>
      <c r="T687" s="28" t="str">
        <f aca="false">IF(N687="","",IF(AND(N687="수정",O687&lt;&gt;""),O687,J687))</f>
        <v/>
      </c>
      <c r="U687" s="28" t="str">
        <f aca="false">IF(N687="","",IF(AND(N687="수정",P687&lt;&gt;""),P687,K687))</f>
        <v/>
      </c>
      <c r="V687" s="28" t="str">
        <f aca="false">IF(N687="","",IF(N687="수정",IF(Q687&lt;&gt;"",Q687,IF(OR(U687="명시 없음",U687="유보",U687="절 아님"),"",L687)),L687))</f>
        <v/>
      </c>
    </row>
    <row r="688" customFormat="false" ht="15" hidden="false" customHeight="false" outlineLevel="0" collapsed="false">
      <c r="A688" s="24" t="s">
        <v>200</v>
      </c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5"/>
      <c r="O688" s="25"/>
      <c r="P688" s="25"/>
      <c r="Q688" s="25"/>
      <c r="R688" s="25"/>
      <c r="S688" s="25"/>
      <c r="T688" s="28" t="str">
        <f aca="false">IF(N688="","",IF(AND(N688="수정",O688&lt;&gt;""),O688,J688))</f>
        <v/>
      </c>
      <c r="U688" s="28" t="str">
        <f aca="false">IF(N688="","",IF(AND(N688="수정",P688&lt;&gt;""),P688,K688))</f>
        <v/>
      </c>
      <c r="V688" s="28" t="str">
        <f aca="false">IF(N688="","",IF(N688="수정",IF(Q688&lt;&gt;"",Q688,IF(OR(U688="명시 없음",U688="유보",U688="절 아님"),"",L688)),L688))</f>
        <v/>
      </c>
    </row>
    <row r="689" customFormat="false" ht="15" hidden="false" customHeight="false" outlineLevel="0" collapsed="false">
      <c r="A689" s="24" t="s">
        <v>200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5"/>
      <c r="O689" s="25"/>
      <c r="P689" s="25"/>
      <c r="Q689" s="25"/>
      <c r="R689" s="25"/>
      <c r="S689" s="25"/>
      <c r="T689" s="28" t="str">
        <f aca="false">IF(N689="","",IF(AND(N689="수정",O689&lt;&gt;""),O689,J689))</f>
        <v/>
      </c>
      <c r="U689" s="28" t="str">
        <f aca="false">IF(N689="","",IF(AND(N689="수정",P689&lt;&gt;""),P689,K689))</f>
        <v/>
      </c>
      <c r="V689" s="28" t="str">
        <f aca="false">IF(N689="","",IF(N689="수정",IF(Q689&lt;&gt;"",Q689,IF(OR(U689="명시 없음",U689="유보",U689="절 아님"),"",L689)),L689))</f>
        <v/>
      </c>
    </row>
    <row r="690" customFormat="false" ht="15" hidden="false" customHeight="false" outlineLevel="0" collapsed="false">
      <c r="A690" s="24" t="s">
        <v>200</v>
      </c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5"/>
      <c r="O690" s="25"/>
      <c r="P690" s="25"/>
      <c r="Q690" s="25"/>
      <c r="R690" s="25"/>
      <c r="S690" s="25"/>
      <c r="T690" s="28" t="str">
        <f aca="false">IF(N690="","",IF(AND(N690="수정",O690&lt;&gt;""),O690,J690))</f>
        <v/>
      </c>
      <c r="U690" s="28" t="str">
        <f aca="false">IF(N690="","",IF(AND(N690="수정",P690&lt;&gt;""),P690,K690))</f>
        <v/>
      </c>
      <c r="V690" s="28" t="str">
        <f aca="false">IF(N690="","",IF(N690="수정",IF(Q690&lt;&gt;"",Q690,IF(OR(U690="명시 없음",U690="유보",U690="절 아님"),"",L690)),L690))</f>
        <v/>
      </c>
    </row>
    <row r="691" customFormat="false" ht="15" hidden="false" customHeight="false" outlineLevel="0" collapsed="false">
      <c r="A691" s="24" t="s">
        <v>200</v>
      </c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5"/>
      <c r="O691" s="25"/>
      <c r="P691" s="25"/>
      <c r="Q691" s="25"/>
      <c r="R691" s="25"/>
      <c r="S691" s="25"/>
      <c r="T691" s="28" t="str">
        <f aca="false">IF(N691="","",IF(AND(N691="수정",O691&lt;&gt;""),O691,J691))</f>
        <v/>
      </c>
      <c r="U691" s="28" t="str">
        <f aca="false">IF(N691="","",IF(AND(N691="수정",P691&lt;&gt;""),P691,K691))</f>
        <v/>
      </c>
      <c r="V691" s="28" t="str">
        <f aca="false">IF(N691="","",IF(N691="수정",IF(Q691&lt;&gt;"",Q691,IF(OR(U691="명시 없음",U691="유보",U691="절 아님"),"",L691)),L691))</f>
        <v/>
      </c>
    </row>
    <row r="692" customFormat="false" ht="15" hidden="false" customHeight="false" outlineLevel="0" collapsed="false">
      <c r="A692" s="24" t="s">
        <v>200</v>
      </c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5"/>
      <c r="O692" s="25"/>
      <c r="P692" s="25"/>
      <c r="Q692" s="25"/>
      <c r="R692" s="25"/>
      <c r="S692" s="25"/>
      <c r="T692" s="28" t="str">
        <f aca="false">IF(N692="","",IF(AND(N692="수정",O692&lt;&gt;""),O692,J692))</f>
        <v/>
      </c>
      <c r="U692" s="28" t="str">
        <f aca="false">IF(N692="","",IF(AND(N692="수정",P692&lt;&gt;""),P692,K692))</f>
        <v/>
      </c>
      <c r="V692" s="28" t="str">
        <f aca="false">IF(N692="","",IF(N692="수정",IF(Q692&lt;&gt;"",Q692,IF(OR(U692="명시 없음",U692="유보",U692="절 아님"),"",L692)),L692))</f>
        <v/>
      </c>
    </row>
    <row r="693" customFormat="false" ht="15" hidden="false" customHeight="false" outlineLevel="0" collapsed="false">
      <c r="A693" s="24" t="s">
        <v>200</v>
      </c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5"/>
      <c r="O693" s="25"/>
      <c r="P693" s="25"/>
      <c r="Q693" s="25"/>
      <c r="R693" s="25"/>
      <c r="S693" s="25"/>
      <c r="T693" s="28" t="str">
        <f aca="false">IF(N693="","",IF(AND(N693="수정",O693&lt;&gt;""),O693,J693))</f>
        <v/>
      </c>
      <c r="U693" s="28" t="str">
        <f aca="false">IF(N693="","",IF(AND(N693="수정",P693&lt;&gt;""),P693,K693))</f>
        <v/>
      </c>
      <c r="V693" s="28" t="str">
        <f aca="false">IF(N693="","",IF(N693="수정",IF(Q693&lt;&gt;"",Q693,IF(OR(U693="명시 없음",U693="유보",U693="절 아님"),"",L693)),L693))</f>
        <v/>
      </c>
    </row>
    <row r="694" customFormat="false" ht="15" hidden="false" customHeight="false" outlineLevel="0" collapsed="false">
      <c r="A694" s="24" t="s">
        <v>200</v>
      </c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5"/>
      <c r="O694" s="25"/>
      <c r="P694" s="25"/>
      <c r="Q694" s="25"/>
      <c r="R694" s="25"/>
      <c r="S694" s="25"/>
      <c r="T694" s="28" t="str">
        <f aca="false">IF(N694="","",IF(AND(N694="수정",O694&lt;&gt;""),O694,J694))</f>
        <v/>
      </c>
      <c r="U694" s="28" t="str">
        <f aca="false">IF(N694="","",IF(AND(N694="수정",P694&lt;&gt;""),P694,K694))</f>
        <v/>
      </c>
      <c r="V694" s="28" t="str">
        <f aca="false">IF(N694="","",IF(N694="수정",IF(Q694&lt;&gt;"",Q694,IF(OR(U694="명시 없음",U694="유보",U694="절 아님"),"",L694)),L694))</f>
        <v/>
      </c>
    </row>
    <row r="695" customFormat="false" ht="15" hidden="false" customHeight="false" outlineLevel="0" collapsed="false">
      <c r="A695" s="24" t="s">
        <v>200</v>
      </c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5"/>
      <c r="O695" s="25"/>
      <c r="P695" s="25"/>
      <c r="Q695" s="25"/>
      <c r="R695" s="25"/>
      <c r="S695" s="25"/>
      <c r="T695" s="28" t="str">
        <f aca="false">IF(N695="","",IF(AND(N695="수정",O695&lt;&gt;""),O695,J695))</f>
        <v/>
      </c>
      <c r="U695" s="28" t="str">
        <f aca="false">IF(N695="","",IF(AND(N695="수정",P695&lt;&gt;""),P695,K695))</f>
        <v/>
      </c>
      <c r="V695" s="28" t="str">
        <f aca="false">IF(N695="","",IF(N695="수정",IF(Q695&lt;&gt;"",Q695,IF(OR(U695="명시 없음",U695="유보",U695="절 아님"),"",L695)),L695))</f>
        <v/>
      </c>
    </row>
    <row r="696" customFormat="false" ht="15" hidden="false" customHeight="false" outlineLevel="0" collapsed="false">
      <c r="A696" s="24" t="s">
        <v>200</v>
      </c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5"/>
      <c r="O696" s="25"/>
      <c r="P696" s="25"/>
      <c r="Q696" s="25"/>
      <c r="R696" s="25"/>
      <c r="S696" s="25"/>
      <c r="T696" s="28" t="str">
        <f aca="false">IF(N696="","",IF(AND(N696="수정",O696&lt;&gt;""),O696,J696))</f>
        <v/>
      </c>
      <c r="U696" s="28" t="str">
        <f aca="false">IF(N696="","",IF(AND(N696="수정",P696&lt;&gt;""),P696,K696))</f>
        <v/>
      </c>
      <c r="V696" s="28" t="str">
        <f aca="false">IF(N696="","",IF(N696="수정",IF(Q696&lt;&gt;"",Q696,IF(OR(U696="명시 없음",U696="유보",U696="절 아님"),"",L696)),L696))</f>
        <v/>
      </c>
    </row>
    <row r="697" customFormat="false" ht="15" hidden="false" customHeight="false" outlineLevel="0" collapsed="false">
      <c r="A697" s="24" t="s">
        <v>200</v>
      </c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5"/>
      <c r="O697" s="25"/>
      <c r="P697" s="25"/>
      <c r="Q697" s="25"/>
      <c r="R697" s="25"/>
      <c r="S697" s="25"/>
      <c r="T697" s="28" t="str">
        <f aca="false">IF(N697="","",IF(AND(N697="수정",O697&lt;&gt;""),O697,J697))</f>
        <v/>
      </c>
      <c r="U697" s="28" t="str">
        <f aca="false">IF(N697="","",IF(AND(N697="수정",P697&lt;&gt;""),P697,K697))</f>
        <v/>
      </c>
      <c r="V697" s="28" t="str">
        <f aca="false">IF(N697="","",IF(N697="수정",IF(Q697&lt;&gt;"",Q697,IF(OR(U697="명시 없음",U697="유보",U697="절 아님"),"",L697)),L697))</f>
        <v/>
      </c>
    </row>
    <row r="698" customFormat="false" ht="15" hidden="false" customHeight="false" outlineLevel="0" collapsed="false">
      <c r="A698" s="24" t="s">
        <v>200</v>
      </c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5"/>
      <c r="O698" s="25"/>
      <c r="P698" s="25"/>
      <c r="Q698" s="25"/>
      <c r="R698" s="25"/>
      <c r="S698" s="25"/>
      <c r="T698" s="28" t="str">
        <f aca="false">IF(N698="","",IF(AND(N698="수정",O698&lt;&gt;""),O698,J698))</f>
        <v/>
      </c>
      <c r="U698" s="28" t="str">
        <f aca="false">IF(N698="","",IF(AND(N698="수정",P698&lt;&gt;""),P698,K698))</f>
        <v/>
      </c>
      <c r="V698" s="28" t="str">
        <f aca="false">IF(N698="","",IF(N698="수정",IF(Q698&lt;&gt;"",Q698,IF(OR(U698="명시 없음",U698="유보",U698="절 아님"),"",L698)),L698))</f>
        <v/>
      </c>
    </row>
    <row r="699" customFormat="false" ht="15" hidden="false" customHeight="false" outlineLevel="0" collapsed="false">
      <c r="A699" s="24" t="s">
        <v>200</v>
      </c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5"/>
      <c r="O699" s="25"/>
      <c r="P699" s="25"/>
      <c r="Q699" s="25"/>
      <c r="R699" s="25"/>
      <c r="S699" s="25"/>
      <c r="T699" s="28" t="str">
        <f aca="false">IF(N699="","",IF(AND(N699="수정",O699&lt;&gt;""),O699,J699))</f>
        <v/>
      </c>
      <c r="U699" s="28" t="str">
        <f aca="false">IF(N699="","",IF(AND(N699="수정",P699&lt;&gt;""),P699,K699))</f>
        <v/>
      </c>
      <c r="V699" s="28" t="str">
        <f aca="false">IF(N699="","",IF(N699="수정",IF(Q699&lt;&gt;"",Q699,IF(OR(U699="명시 없음",U699="유보",U699="절 아님"),"",L699)),L699))</f>
        <v/>
      </c>
    </row>
    <row r="700" customFormat="false" ht="15" hidden="false" customHeight="false" outlineLevel="0" collapsed="false">
      <c r="A700" s="24" t="s">
        <v>200</v>
      </c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5"/>
      <c r="O700" s="25"/>
      <c r="P700" s="25"/>
      <c r="Q700" s="25"/>
      <c r="R700" s="25"/>
      <c r="S700" s="25"/>
      <c r="T700" s="28" t="str">
        <f aca="false">IF(N700="","",IF(AND(N700="수정",O700&lt;&gt;""),O700,J700))</f>
        <v/>
      </c>
      <c r="U700" s="28" t="str">
        <f aca="false">IF(N700="","",IF(AND(N700="수정",P700&lt;&gt;""),P700,K700))</f>
        <v/>
      </c>
      <c r="V700" s="28" t="str">
        <f aca="false">IF(N700="","",IF(N700="수정",IF(Q700&lt;&gt;"",Q700,IF(OR(U700="명시 없음",U700="유보",U700="절 아님"),"",L700)),L700))</f>
        <v/>
      </c>
    </row>
  </sheetData>
  <autoFilter ref="A3:V700"/>
  <dataValidations count="4">
    <dataValidation allowBlank="true" error="목록에서 고르세요." errorStyle="stop" errorTitle="값 확인" operator="between" showDropDown="false" showErrorMessage="false" showInputMessage="false" sqref="N4:N700" type="list">
      <formula1>"수용,수정"</formula1>
      <formula2>0</formula2>
    </dataValidation>
    <dataValidation allowBlank="true" error="목록에서 고르세요." errorStyle="stop" errorTitle="값 확인" operator="between" showDropDown="false" showErrorMessage="false" showInputMessage="false" sqref="O4:O700" type="list">
      <formula1>"T1,T2,T3,T4,T5,유보,C5"</formula1>
      <formula2>0</formula2>
    </dataValidation>
    <dataValidation allowBlank="true" error="목록에서 고르세요." errorStyle="stop" errorTitle="값 확인" operator="between" showDropDown="false" showErrorMessage="false" showInputMessage="false" sqref="P4:P700" type="list">
      <formula1>"범위,연결·논평만,명시 없음,유보,절 아님"</formula1>
      <formula2>0</formula2>
    </dataValidation>
    <dataValidation allowBlank="true" error="목록에서 고르세요." errorStyle="stop" errorTitle="값 확인" operator="between" showDropDown="false" showErrorMessage="false" showInputMessage="false" sqref="R4:R700" type="list">
      <formula1>"단위 나누기,주어 식별,범위 시작,범위 끝,T3 은/는 성분,T4·T5 구분,명사성 틀,연결·논평 기록,유보 여부,기타"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6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4"/>
    <col collapsed="false" customWidth="true" hidden="false" outlineLevel="0" max="16" min="16" style="0" width="7"/>
    <col collapsed="false" customWidth="true" hidden="false" outlineLevel="0" max="17" min="17" style="0" width="22"/>
  </cols>
  <sheetData>
    <row r="1" customFormat="false" ht="17.15" hidden="false" customHeight="false" outlineLevel="0" collapsed="false">
      <c r="A1" s="13" t="s">
        <v>201</v>
      </c>
    </row>
    <row r="2" customFormat="false" ht="15" hidden="false" customHeight="false" outlineLevel="0" collapsed="false">
      <c r="A2" s="14" t="s">
        <v>202</v>
      </c>
    </row>
    <row r="3" customFormat="false" ht="30" hidden="false" customHeight="true" outlineLevel="0" collapsed="false">
      <c r="A3" s="16" t="s">
        <v>146</v>
      </c>
      <c r="B3" s="16" t="s">
        <v>147</v>
      </c>
      <c r="C3" s="16" t="s">
        <v>148</v>
      </c>
      <c r="D3" s="16" t="s">
        <v>149</v>
      </c>
      <c r="E3" s="16" t="s">
        <v>150</v>
      </c>
      <c r="F3" s="16" t="s">
        <v>151</v>
      </c>
      <c r="G3" s="16" t="s">
        <v>152</v>
      </c>
      <c r="H3" s="16" t="s">
        <v>153</v>
      </c>
      <c r="I3" s="16" t="s">
        <v>154</v>
      </c>
      <c r="J3" s="16" t="s">
        <v>155</v>
      </c>
      <c r="K3" s="16" t="s">
        <v>156</v>
      </c>
      <c r="L3" s="16" t="s">
        <v>157</v>
      </c>
      <c r="M3" s="16" t="s">
        <v>29</v>
      </c>
      <c r="N3" s="16" t="s">
        <v>27</v>
      </c>
      <c r="O3" s="16" t="s">
        <v>33</v>
      </c>
      <c r="P3" s="16" t="s">
        <v>35</v>
      </c>
      <c r="Q3" s="16" t="s">
        <v>158</v>
      </c>
    </row>
    <row r="4" customFormat="false" ht="15" hidden="false" customHeight="false" outlineLevel="0" collapsed="false">
      <c r="A4" s="23" t="s">
        <v>203</v>
      </c>
      <c r="B4" s="24" t="s">
        <v>204</v>
      </c>
      <c r="C4" s="24" t="s">
        <v>205</v>
      </c>
      <c r="D4" s="24" t="s">
        <v>205</v>
      </c>
      <c r="E4" s="24" t="s">
        <v>205</v>
      </c>
      <c r="F4" s="23"/>
      <c r="G4" s="23" t="s">
        <v>206</v>
      </c>
      <c r="H4" s="25"/>
      <c r="I4" s="25"/>
      <c r="J4" s="25"/>
      <c r="K4" s="25"/>
      <c r="L4" s="25"/>
      <c r="M4" s="25"/>
      <c r="N4" s="25"/>
      <c r="O4" s="25"/>
      <c r="P4" s="25"/>
      <c r="Q4" s="25"/>
    </row>
    <row r="5" customFormat="false" ht="15" hidden="false" customHeight="false" outlineLevel="0" collapsed="false">
      <c r="A5" s="23" t="s">
        <v>203</v>
      </c>
      <c r="B5" s="24" t="s">
        <v>204</v>
      </c>
      <c r="C5" s="24" t="s">
        <v>205</v>
      </c>
      <c r="D5" s="24" t="s">
        <v>205</v>
      </c>
      <c r="E5" s="24" t="s">
        <v>205</v>
      </c>
      <c r="F5" s="23"/>
      <c r="G5" s="23" t="s">
        <v>206</v>
      </c>
      <c r="H5" s="25"/>
      <c r="I5" s="25"/>
      <c r="J5" s="25"/>
      <c r="K5" s="25"/>
      <c r="L5" s="25"/>
      <c r="M5" s="25"/>
      <c r="N5" s="25"/>
      <c r="O5" s="25"/>
      <c r="P5" s="25"/>
      <c r="Q5" s="25"/>
    </row>
    <row r="6" customFormat="false" ht="15" hidden="false" customHeight="false" outlineLevel="0" collapsed="false">
      <c r="A6" s="29" t="s">
        <v>203</v>
      </c>
      <c r="B6" s="30" t="s">
        <v>204</v>
      </c>
      <c r="C6" s="30" t="s">
        <v>205</v>
      </c>
      <c r="D6" s="30" t="s">
        <v>205</v>
      </c>
      <c r="E6" s="30" t="s">
        <v>205</v>
      </c>
      <c r="F6" s="29"/>
      <c r="G6" s="29" t="s">
        <v>206</v>
      </c>
      <c r="H6" s="31"/>
      <c r="I6" s="31"/>
      <c r="J6" s="31"/>
      <c r="K6" s="31"/>
      <c r="L6" s="31"/>
      <c r="M6" s="31"/>
      <c r="N6" s="31"/>
      <c r="O6" s="31"/>
      <c r="P6" s="31"/>
      <c r="Q6" s="31"/>
    </row>
    <row r="7" customFormat="false" ht="15" hidden="false" customHeight="false" outlineLevel="0" collapsed="false">
      <c r="A7" s="23" t="s">
        <v>203</v>
      </c>
      <c r="B7" s="24" t="s">
        <v>207</v>
      </c>
      <c r="C7" s="24" t="s">
        <v>205</v>
      </c>
      <c r="D7" s="24" t="s">
        <v>205</v>
      </c>
      <c r="E7" s="24" t="s">
        <v>205</v>
      </c>
      <c r="F7" s="23"/>
      <c r="G7" s="23" t="s">
        <v>208</v>
      </c>
      <c r="H7" s="25"/>
      <c r="I7" s="25"/>
      <c r="J7" s="25"/>
      <c r="K7" s="25"/>
      <c r="L7" s="25"/>
      <c r="M7" s="25"/>
      <c r="N7" s="25"/>
      <c r="O7" s="25"/>
      <c r="P7" s="25"/>
      <c r="Q7" s="25"/>
    </row>
    <row r="8" customFormat="false" ht="15" hidden="false" customHeight="false" outlineLevel="0" collapsed="false">
      <c r="A8" s="23" t="s">
        <v>203</v>
      </c>
      <c r="B8" s="24" t="s">
        <v>207</v>
      </c>
      <c r="C8" s="24" t="s">
        <v>205</v>
      </c>
      <c r="D8" s="24" t="s">
        <v>205</v>
      </c>
      <c r="E8" s="24" t="s">
        <v>205</v>
      </c>
      <c r="F8" s="23"/>
      <c r="G8" s="23" t="s">
        <v>208</v>
      </c>
      <c r="H8" s="25"/>
      <c r="I8" s="25"/>
      <c r="J8" s="25"/>
      <c r="K8" s="25"/>
      <c r="L8" s="25"/>
      <c r="M8" s="25"/>
      <c r="N8" s="25"/>
      <c r="O8" s="25"/>
      <c r="P8" s="25"/>
      <c r="Q8" s="25"/>
    </row>
    <row r="9" customFormat="false" ht="15" hidden="false" customHeight="false" outlineLevel="0" collapsed="false">
      <c r="A9" s="29" t="s">
        <v>203</v>
      </c>
      <c r="B9" s="30" t="s">
        <v>207</v>
      </c>
      <c r="C9" s="30" t="s">
        <v>205</v>
      </c>
      <c r="D9" s="30" t="s">
        <v>205</v>
      </c>
      <c r="E9" s="30" t="s">
        <v>205</v>
      </c>
      <c r="F9" s="29"/>
      <c r="G9" s="29" t="s">
        <v>208</v>
      </c>
      <c r="H9" s="31"/>
      <c r="I9" s="31"/>
      <c r="J9" s="31"/>
      <c r="K9" s="31"/>
      <c r="L9" s="31"/>
      <c r="M9" s="31"/>
      <c r="N9" s="31"/>
      <c r="O9" s="31"/>
      <c r="P9" s="31"/>
      <c r="Q9" s="31"/>
    </row>
    <row r="10" customFormat="false" ht="15" hidden="false" customHeight="false" outlineLevel="0" collapsed="false">
      <c r="A10" s="23" t="s">
        <v>203</v>
      </c>
      <c r="B10" s="24" t="s">
        <v>209</v>
      </c>
      <c r="C10" s="24" t="s">
        <v>205</v>
      </c>
      <c r="D10" s="24" t="s">
        <v>205</v>
      </c>
      <c r="E10" s="24" t="s">
        <v>205</v>
      </c>
      <c r="F10" s="23"/>
      <c r="G10" s="23" t="s">
        <v>210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customFormat="false" ht="15" hidden="false" customHeight="false" outlineLevel="0" collapsed="false">
      <c r="A11" s="23" t="s">
        <v>203</v>
      </c>
      <c r="B11" s="24" t="s">
        <v>209</v>
      </c>
      <c r="C11" s="24" t="s">
        <v>205</v>
      </c>
      <c r="D11" s="24" t="s">
        <v>205</v>
      </c>
      <c r="E11" s="24" t="s">
        <v>205</v>
      </c>
      <c r="F11" s="23"/>
      <c r="G11" s="23" t="s">
        <v>210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customFormat="false" ht="15" hidden="false" customHeight="false" outlineLevel="0" collapsed="false">
      <c r="A12" s="29" t="s">
        <v>203</v>
      </c>
      <c r="B12" s="30" t="s">
        <v>209</v>
      </c>
      <c r="C12" s="30" t="s">
        <v>205</v>
      </c>
      <c r="D12" s="30" t="s">
        <v>205</v>
      </c>
      <c r="E12" s="30" t="s">
        <v>205</v>
      </c>
      <c r="F12" s="29"/>
      <c r="G12" s="29" t="s">
        <v>210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customFormat="false" ht="15" hidden="false" customHeight="false" outlineLevel="0" collapsed="false">
      <c r="A13" s="23" t="s">
        <v>203</v>
      </c>
      <c r="B13" s="24" t="s">
        <v>211</v>
      </c>
      <c r="C13" s="24" t="s">
        <v>205</v>
      </c>
      <c r="D13" s="24" t="s">
        <v>205</v>
      </c>
      <c r="E13" s="24" t="s">
        <v>205</v>
      </c>
      <c r="F13" s="23"/>
      <c r="G13" s="24" t="s">
        <v>212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customFormat="false" ht="15" hidden="false" customHeight="false" outlineLevel="0" collapsed="false">
      <c r="A14" s="23" t="s">
        <v>203</v>
      </c>
      <c r="B14" s="24" t="s">
        <v>211</v>
      </c>
      <c r="C14" s="24" t="s">
        <v>205</v>
      </c>
      <c r="D14" s="24" t="s">
        <v>205</v>
      </c>
      <c r="E14" s="24" t="s">
        <v>205</v>
      </c>
      <c r="F14" s="23"/>
      <c r="G14" s="24" t="s">
        <v>212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customFormat="false" ht="15" hidden="false" customHeight="false" outlineLevel="0" collapsed="false">
      <c r="A15" s="29" t="s">
        <v>203</v>
      </c>
      <c r="B15" s="30" t="s">
        <v>211</v>
      </c>
      <c r="C15" s="30" t="s">
        <v>205</v>
      </c>
      <c r="D15" s="30" t="s">
        <v>205</v>
      </c>
      <c r="E15" s="30" t="s">
        <v>205</v>
      </c>
      <c r="F15" s="29"/>
      <c r="G15" s="30" t="s">
        <v>212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customFormat="false" ht="15" hidden="false" customHeight="false" outlineLevel="0" collapsed="false">
      <c r="A16" s="23" t="s">
        <v>203</v>
      </c>
      <c r="B16" s="24" t="s">
        <v>213</v>
      </c>
      <c r="C16" s="24" t="s">
        <v>205</v>
      </c>
      <c r="D16" s="24" t="s">
        <v>205</v>
      </c>
      <c r="E16" s="24" t="s">
        <v>205</v>
      </c>
      <c r="F16" s="23"/>
      <c r="G16" s="24" t="s">
        <v>214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customFormat="false" ht="15" hidden="false" customHeight="false" outlineLevel="0" collapsed="false">
      <c r="A17" s="23" t="s">
        <v>203</v>
      </c>
      <c r="B17" s="24" t="s">
        <v>213</v>
      </c>
      <c r="C17" s="24" t="s">
        <v>205</v>
      </c>
      <c r="D17" s="24" t="s">
        <v>205</v>
      </c>
      <c r="E17" s="24" t="s">
        <v>205</v>
      </c>
      <c r="F17" s="23"/>
      <c r="G17" s="24" t="s">
        <v>214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customFormat="false" ht="15" hidden="false" customHeight="false" outlineLevel="0" collapsed="false">
      <c r="A18" s="29" t="s">
        <v>203</v>
      </c>
      <c r="B18" s="30" t="s">
        <v>213</v>
      </c>
      <c r="C18" s="30" t="s">
        <v>205</v>
      </c>
      <c r="D18" s="30" t="s">
        <v>205</v>
      </c>
      <c r="E18" s="30" t="s">
        <v>205</v>
      </c>
      <c r="F18" s="29"/>
      <c r="G18" s="30" t="s">
        <v>214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customFormat="false" ht="26.85" hidden="false" customHeight="false" outlineLevel="0" collapsed="false">
      <c r="A19" s="23" t="s">
        <v>203</v>
      </c>
      <c r="B19" s="24" t="s">
        <v>215</v>
      </c>
      <c r="C19" s="24" t="s">
        <v>205</v>
      </c>
      <c r="D19" s="24" t="s">
        <v>205</v>
      </c>
      <c r="E19" s="24" t="s">
        <v>205</v>
      </c>
      <c r="F19" s="23" t="s">
        <v>216</v>
      </c>
      <c r="G19" s="23" t="s">
        <v>217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customFormat="false" ht="26.85" hidden="false" customHeight="false" outlineLevel="0" collapsed="false">
      <c r="A20" s="23" t="s">
        <v>203</v>
      </c>
      <c r="B20" s="24" t="s">
        <v>215</v>
      </c>
      <c r="C20" s="24" t="s">
        <v>205</v>
      </c>
      <c r="D20" s="24" t="s">
        <v>205</v>
      </c>
      <c r="E20" s="24" t="s">
        <v>205</v>
      </c>
      <c r="F20" s="23" t="s">
        <v>216</v>
      </c>
      <c r="G20" s="23" t="s">
        <v>217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customFormat="false" ht="26.85" hidden="false" customHeight="false" outlineLevel="0" collapsed="false">
      <c r="A21" s="29" t="s">
        <v>203</v>
      </c>
      <c r="B21" s="30" t="s">
        <v>215</v>
      </c>
      <c r="C21" s="30" t="s">
        <v>205</v>
      </c>
      <c r="D21" s="30" t="s">
        <v>205</v>
      </c>
      <c r="E21" s="30" t="s">
        <v>205</v>
      </c>
      <c r="F21" s="29" t="s">
        <v>216</v>
      </c>
      <c r="G21" s="29" t="s">
        <v>217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customFormat="false" ht="26.85" hidden="false" customHeight="false" outlineLevel="0" collapsed="false">
      <c r="A22" s="23" t="s">
        <v>203</v>
      </c>
      <c r="B22" s="24" t="s">
        <v>218</v>
      </c>
      <c r="C22" s="24" t="s">
        <v>205</v>
      </c>
      <c r="D22" s="24" t="s">
        <v>205</v>
      </c>
      <c r="E22" s="24" t="s">
        <v>205</v>
      </c>
      <c r="F22" s="23" t="s">
        <v>216</v>
      </c>
      <c r="G22" s="23" t="s">
        <v>219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customFormat="false" ht="26.85" hidden="false" customHeight="false" outlineLevel="0" collapsed="false">
      <c r="A23" s="23" t="s">
        <v>203</v>
      </c>
      <c r="B23" s="24" t="s">
        <v>218</v>
      </c>
      <c r="C23" s="24" t="s">
        <v>205</v>
      </c>
      <c r="D23" s="24" t="s">
        <v>205</v>
      </c>
      <c r="E23" s="24" t="s">
        <v>205</v>
      </c>
      <c r="F23" s="23" t="s">
        <v>216</v>
      </c>
      <c r="G23" s="23" t="s">
        <v>219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customFormat="false" ht="26.85" hidden="false" customHeight="false" outlineLevel="0" collapsed="false">
      <c r="A24" s="29" t="s">
        <v>203</v>
      </c>
      <c r="B24" s="30" t="s">
        <v>218</v>
      </c>
      <c r="C24" s="30" t="s">
        <v>205</v>
      </c>
      <c r="D24" s="30" t="s">
        <v>205</v>
      </c>
      <c r="E24" s="30" t="s">
        <v>205</v>
      </c>
      <c r="F24" s="29" t="s">
        <v>216</v>
      </c>
      <c r="G24" s="29" t="s">
        <v>219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customFormat="false" ht="15" hidden="false" customHeight="false" outlineLevel="0" collapsed="false">
      <c r="A25" s="23" t="s">
        <v>203</v>
      </c>
      <c r="B25" s="24" t="s">
        <v>220</v>
      </c>
      <c r="C25" s="24" t="s">
        <v>205</v>
      </c>
      <c r="D25" s="24" t="s">
        <v>205</v>
      </c>
      <c r="E25" s="24" t="s">
        <v>205</v>
      </c>
      <c r="F25" s="23"/>
      <c r="G25" s="23" t="s">
        <v>221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customFormat="false" ht="15" hidden="false" customHeight="false" outlineLevel="0" collapsed="false">
      <c r="A26" s="23" t="s">
        <v>203</v>
      </c>
      <c r="B26" s="24" t="s">
        <v>220</v>
      </c>
      <c r="C26" s="24" t="s">
        <v>205</v>
      </c>
      <c r="D26" s="24" t="s">
        <v>205</v>
      </c>
      <c r="E26" s="24" t="s">
        <v>205</v>
      </c>
      <c r="F26" s="23"/>
      <c r="G26" s="23" t="s">
        <v>221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customFormat="false" ht="15" hidden="false" customHeight="false" outlineLevel="0" collapsed="false">
      <c r="A27" s="29" t="s">
        <v>203</v>
      </c>
      <c r="B27" s="30" t="s">
        <v>220</v>
      </c>
      <c r="C27" s="30" t="s">
        <v>205</v>
      </c>
      <c r="D27" s="30" t="s">
        <v>205</v>
      </c>
      <c r="E27" s="30" t="s">
        <v>205</v>
      </c>
      <c r="F27" s="29"/>
      <c r="G27" s="29" t="s">
        <v>221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customFormat="false" ht="15" hidden="false" customHeight="false" outlineLevel="0" collapsed="false">
      <c r="A28" s="23" t="s">
        <v>203</v>
      </c>
      <c r="B28" s="24" t="s">
        <v>222</v>
      </c>
      <c r="C28" s="24" t="s">
        <v>205</v>
      </c>
      <c r="D28" s="24" t="s">
        <v>205</v>
      </c>
      <c r="E28" s="24" t="s">
        <v>205</v>
      </c>
      <c r="F28" s="23"/>
      <c r="G28" s="23" t="s">
        <v>223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customFormat="false" ht="15" hidden="false" customHeight="false" outlineLevel="0" collapsed="false">
      <c r="A29" s="23" t="s">
        <v>203</v>
      </c>
      <c r="B29" s="24" t="s">
        <v>222</v>
      </c>
      <c r="C29" s="24" t="s">
        <v>205</v>
      </c>
      <c r="D29" s="24" t="s">
        <v>205</v>
      </c>
      <c r="E29" s="24" t="s">
        <v>205</v>
      </c>
      <c r="F29" s="23"/>
      <c r="G29" s="23" t="s">
        <v>223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customFormat="false" ht="15" hidden="false" customHeight="false" outlineLevel="0" collapsed="false">
      <c r="A30" s="29" t="s">
        <v>203</v>
      </c>
      <c r="B30" s="30" t="s">
        <v>222</v>
      </c>
      <c r="C30" s="30" t="s">
        <v>205</v>
      </c>
      <c r="D30" s="30" t="s">
        <v>205</v>
      </c>
      <c r="E30" s="30" t="s">
        <v>205</v>
      </c>
      <c r="F30" s="29"/>
      <c r="G30" s="29" t="s">
        <v>223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customFormat="false" ht="15" hidden="false" customHeight="false" outlineLevel="0" collapsed="false">
      <c r="A31" s="23" t="s">
        <v>203</v>
      </c>
      <c r="B31" s="24" t="s">
        <v>224</v>
      </c>
      <c r="C31" s="24" t="s">
        <v>205</v>
      </c>
      <c r="D31" s="24" t="s">
        <v>205</v>
      </c>
      <c r="E31" s="24" t="s">
        <v>205</v>
      </c>
      <c r="F31" s="23" t="s">
        <v>225</v>
      </c>
      <c r="G31" s="23" t="s">
        <v>226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customFormat="false" ht="15" hidden="false" customHeight="false" outlineLevel="0" collapsed="false">
      <c r="A32" s="23" t="s">
        <v>203</v>
      </c>
      <c r="B32" s="24" t="s">
        <v>224</v>
      </c>
      <c r="C32" s="24" t="s">
        <v>205</v>
      </c>
      <c r="D32" s="24" t="s">
        <v>205</v>
      </c>
      <c r="E32" s="24" t="s">
        <v>205</v>
      </c>
      <c r="F32" s="23" t="s">
        <v>225</v>
      </c>
      <c r="G32" s="23" t="s">
        <v>226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customFormat="false" ht="15" hidden="false" customHeight="false" outlineLevel="0" collapsed="false">
      <c r="A33" s="29" t="s">
        <v>203</v>
      </c>
      <c r="B33" s="30" t="s">
        <v>224</v>
      </c>
      <c r="C33" s="30" t="s">
        <v>205</v>
      </c>
      <c r="D33" s="30" t="s">
        <v>205</v>
      </c>
      <c r="E33" s="30" t="s">
        <v>205</v>
      </c>
      <c r="F33" s="29" t="s">
        <v>225</v>
      </c>
      <c r="G33" s="29" t="s">
        <v>226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customFormat="false" ht="15" hidden="false" customHeight="false" outlineLevel="0" collapsed="false">
      <c r="A34" s="23" t="s">
        <v>203</v>
      </c>
      <c r="B34" s="24" t="s">
        <v>227</v>
      </c>
      <c r="C34" s="24" t="s">
        <v>205</v>
      </c>
      <c r="D34" s="24" t="s">
        <v>205</v>
      </c>
      <c r="E34" s="24" t="s">
        <v>205</v>
      </c>
      <c r="F34" s="23"/>
      <c r="G34" s="23" t="s">
        <v>228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customFormat="false" ht="15" hidden="false" customHeight="false" outlineLevel="0" collapsed="false">
      <c r="A35" s="23" t="s">
        <v>203</v>
      </c>
      <c r="B35" s="24" t="s">
        <v>227</v>
      </c>
      <c r="C35" s="24" t="s">
        <v>205</v>
      </c>
      <c r="D35" s="24" t="s">
        <v>205</v>
      </c>
      <c r="E35" s="24" t="s">
        <v>205</v>
      </c>
      <c r="F35" s="23"/>
      <c r="G35" s="23" t="s">
        <v>228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customFormat="false" ht="15" hidden="false" customHeight="false" outlineLevel="0" collapsed="false">
      <c r="A36" s="29" t="s">
        <v>203</v>
      </c>
      <c r="B36" s="30" t="s">
        <v>227</v>
      </c>
      <c r="C36" s="30" t="s">
        <v>205</v>
      </c>
      <c r="D36" s="30" t="s">
        <v>205</v>
      </c>
      <c r="E36" s="30" t="s">
        <v>205</v>
      </c>
      <c r="F36" s="29"/>
      <c r="G36" s="29" t="s">
        <v>228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customFormat="false" ht="15" hidden="false" customHeight="false" outlineLevel="0" collapsed="false">
      <c r="A37" s="23" t="s">
        <v>203</v>
      </c>
      <c r="B37" s="24" t="s">
        <v>229</v>
      </c>
      <c r="C37" s="24" t="s">
        <v>205</v>
      </c>
      <c r="D37" s="24" t="s">
        <v>205</v>
      </c>
      <c r="E37" s="24" t="s">
        <v>205</v>
      </c>
      <c r="F37" s="23" t="s">
        <v>230</v>
      </c>
      <c r="G37" s="23" t="s">
        <v>231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customFormat="false" ht="15" hidden="false" customHeight="false" outlineLevel="0" collapsed="false">
      <c r="A38" s="23" t="s">
        <v>203</v>
      </c>
      <c r="B38" s="24" t="s">
        <v>229</v>
      </c>
      <c r="C38" s="24" t="s">
        <v>205</v>
      </c>
      <c r="D38" s="24" t="s">
        <v>205</v>
      </c>
      <c r="E38" s="24" t="s">
        <v>205</v>
      </c>
      <c r="F38" s="23" t="s">
        <v>230</v>
      </c>
      <c r="G38" s="23" t="s">
        <v>231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customFormat="false" ht="15" hidden="false" customHeight="false" outlineLevel="0" collapsed="false">
      <c r="A39" s="29" t="s">
        <v>203</v>
      </c>
      <c r="B39" s="30" t="s">
        <v>229</v>
      </c>
      <c r="C39" s="30" t="s">
        <v>205</v>
      </c>
      <c r="D39" s="30" t="s">
        <v>205</v>
      </c>
      <c r="E39" s="30" t="s">
        <v>205</v>
      </c>
      <c r="F39" s="29" t="s">
        <v>230</v>
      </c>
      <c r="G39" s="29" t="s">
        <v>231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customFormat="false" ht="15" hidden="false" customHeight="false" outlineLevel="0" collapsed="false">
      <c r="A40" s="23" t="s">
        <v>203</v>
      </c>
      <c r="B40" s="24" t="s">
        <v>232</v>
      </c>
      <c r="C40" s="24" t="s">
        <v>205</v>
      </c>
      <c r="D40" s="24" t="s">
        <v>205</v>
      </c>
      <c r="E40" s="24" t="s">
        <v>205</v>
      </c>
      <c r="F40" s="23"/>
      <c r="G40" s="23" t="s">
        <v>233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customFormat="false" ht="15" hidden="false" customHeight="false" outlineLevel="0" collapsed="false">
      <c r="A41" s="23" t="s">
        <v>203</v>
      </c>
      <c r="B41" s="24" t="s">
        <v>232</v>
      </c>
      <c r="C41" s="24" t="s">
        <v>205</v>
      </c>
      <c r="D41" s="24" t="s">
        <v>205</v>
      </c>
      <c r="E41" s="24" t="s">
        <v>205</v>
      </c>
      <c r="F41" s="23"/>
      <c r="G41" s="23" t="s">
        <v>233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customFormat="false" ht="15" hidden="false" customHeight="false" outlineLevel="0" collapsed="false">
      <c r="A42" s="29" t="s">
        <v>203</v>
      </c>
      <c r="B42" s="30" t="s">
        <v>232</v>
      </c>
      <c r="C42" s="30" t="s">
        <v>205</v>
      </c>
      <c r="D42" s="30" t="s">
        <v>205</v>
      </c>
      <c r="E42" s="30" t="s">
        <v>205</v>
      </c>
      <c r="F42" s="29"/>
      <c r="G42" s="29" t="s">
        <v>233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customFormat="false" ht="15" hidden="false" customHeight="false" outlineLevel="0" collapsed="false">
      <c r="A43" s="23" t="s">
        <v>203</v>
      </c>
      <c r="B43" s="24" t="s">
        <v>234</v>
      </c>
      <c r="C43" s="24" t="s">
        <v>205</v>
      </c>
      <c r="D43" s="24" t="s">
        <v>205</v>
      </c>
      <c r="E43" s="24" t="s">
        <v>205</v>
      </c>
      <c r="F43" s="23" t="s">
        <v>235</v>
      </c>
      <c r="G43" s="23" t="s">
        <v>236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customFormat="false" ht="15" hidden="false" customHeight="false" outlineLevel="0" collapsed="false">
      <c r="A44" s="23" t="s">
        <v>203</v>
      </c>
      <c r="B44" s="24" t="s">
        <v>234</v>
      </c>
      <c r="C44" s="24" t="s">
        <v>205</v>
      </c>
      <c r="D44" s="24" t="s">
        <v>205</v>
      </c>
      <c r="E44" s="24" t="s">
        <v>205</v>
      </c>
      <c r="F44" s="23" t="s">
        <v>235</v>
      </c>
      <c r="G44" s="23" t="s">
        <v>236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customFormat="false" ht="15" hidden="false" customHeight="false" outlineLevel="0" collapsed="false">
      <c r="A45" s="29" t="s">
        <v>203</v>
      </c>
      <c r="B45" s="30" t="s">
        <v>234</v>
      </c>
      <c r="C45" s="30" t="s">
        <v>205</v>
      </c>
      <c r="D45" s="30" t="s">
        <v>205</v>
      </c>
      <c r="E45" s="30" t="s">
        <v>205</v>
      </c>
      <c r="F45" s="29" t="s">
        <v>235</v>
      </c>
      <c r="G45" s="29" t="s">
        <v>236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customFormat="false" ht="15" hidden="false" customHeight="false" outlineLevel="0" collapsed="false">
      <c r="A46" s="23" t="s">
        <v>203</v>
      </c>
      <c r="B46" s="24" t="s">
        <v>237</v>
      </c>
      <c r="C46" s="24" t="s">
        <v>205</v>
      </c>
      <c r="D46" s="24" t="s">
        <v>205</v>
      </c>
      <c r="E46" s="24" t="s">
        <v>205</v>
      </c>
      <c r="F46" s="23" t="s">
        <v>238</v>
      </c>
      <c r="G46" s="23" t="s">
        <v>239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customFormat="false" ht="15" hidden="false" customHeight="false" outlineLevel="0" collapsed="false">
      <c r="A47" s="23" t="s">
        <v>203</v>
      </c>
      <c r="B47" s="24" t="s">
        <v>237</v>
      </c>
      <c r="C47" s="24" t="s">
        <v>205</v>
      </c>
      <c r="D47" s="24" t="s">
        <v>205</v>
      </c>
      <c r="E47" s="24" t="s">
        <v>205</v>
      </c>
      <c r="F47" s="23" t="s">
        <v>238</v>
      </c>
      <c r="G47" s="23" t="s">
        <v>239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customFormat="false" ht="15" hidden="false" customHeight="false" outlineLevel="0" collapsed="false">
      <c r="A48" s="29" t="s">
        <v>203</v>
      </c>
      <c r="B48" s="30" t="s">
        <v>237</v>
      </c>
      <c r="C48" s="30" t="s">
        <v>205</v>
      </c>
      <c r="D48" s="30" t="s">
        <v>205</v>
      </c>
      <c r="E48" s="30" t="s">
        <v>205</v>
      </c>
      <c r="F48" s="29" t="s">
        <v>238</v>
      </c>
      <c r="G48" s="29" t="s">
        <v>239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customFormat="false" ht="15" hidden="false" customHeight="false" outlineLevel="0" collapsed="false">
      <c r="A49" s="23" t="s">
        <v>203</v>
      </c>
      <c r="B49" s="24" t="s">
        <v>240</v>
      </c>
      <c r="C49" s="24" t="s">
        <v>205</v>
      </c>
      <c r="D49" s="24" t="s">
        <v>205</v>
      </c>
      <c r="E49" s="24" t="s">
        <v>205</v>
      </c>
      <c r="F49" s="23" t="s">
        <v>241</v>
      </c>
      <c r="G49" s="23" t="s">
        <v>242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customFormat="false" ht="15" hidden="false" customHeight="false" outlineLevel="0" collapsed="false">
      <c r="A50" s="23" t="s">
        <v>203</v>
      </c>
      <c r="B50" s="24" t="s">
        <v>240</v>
      </c>
      <c r="C50" s="24" t="s">
        <v>205</v>
      </c>
      <c r="D50" s="24" t="s">
        <v>205</v>
      </c>
      <c r="E50" s="24" t="s">
        <v>205</v>
      </c>
      <c r="F50" s="23" t="s">
        <v>241</v>
      </c>
      <c r="G50" s="23" t="s">
        <v>242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customFormat="false" ht="15" hidden="false" customHeight="false" outlineLevel="0" collapsed="false">
      <c r="A51" s="29" t="s">
        <v>203</v>
      </c>
      <c r="B51" s="30" t="s">
        <v>240</v>
      </c>
      <c r="C51" s="30" t="s">
        <v>205</v>
      </c>
      <c r="D51" s="30" t="s">
        <v>205</v>
      </c>
      <c r="E51" s="30" t="s">
        <v>205</v>
      </c>
      <c r="F51" s="29" t="s">
        <v>241</v>
      </c>
      <c r="G51" s="29" t="s">
        <v>242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customFormat="false" ht="15" hidden="false" customHeight="false" outlineLevel="0" collapsed="false">
      <c r="A52" s="23" t="s">
        <v>203</v>
      </c>
      <c r="B52" s="24" t="s">
        <v>243</v>
      </c>
      <c r="C52" s="24" t="s">
        <v>205</v>
      </c>
      <c r="D52" s="24" t="s">
        <v>205</v>
      </c>
      <c r="E52" s="24" t="s">
        <v>205</v>
      </c>
      <c r="F52" s="23"/>
      <c r="G52" s="23" t="s">
        <v>244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customFormat="false" ht="15" hidden="false" customHeight="false" outlineLevel="0" collapsed="false">
      <c r="A53" s="23" t="s">
        <v>203</v>
      </c>
      <c r="B53" s="24" t="s">
        <v>243</v>
      </c>
      <c r="C53" s="24" t="s">
        <v>205</v>
      </c>
      <c r="D53" s="24" t="s">
        <v>205</v>
      </c>
      <c r="E53" s="24" t="s">
        <v>205</v>
      </c>
      <c r="F53" s="23"/>
      <c r="G53" s="23" t="s">
        <v>244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customFormat="false" ht="15" hidden="false" customHeight="false" outlineLevel="0" collapsed="false">
      <c r="A54" s="29" t="s">
        <v>203</v>
      </c>
      <c r="B54" s="30" t="s">
        <v>243</v>
      </c>
      <c r="C54" s="30" t="s">
        <v>205</v>
      </c>
      <c r="D54" s="30" t="s">
        <v>205</v>
      </c>
      <c r="E54" s="30" t="s">
        <v>205</v>
      </c>
      <c r="F54" s="29"/>
      <c r="G54" s="29" t="s">
        <v>244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customFormat="false" ht="15" hidden="false" customHeight="false" outlineLevel="0" collapsed="false">
      <c r="A55" s="23" t="s">
        <v>203</v>
      </c>
      <c r="B55" s="24" t="s">
        <v>245</v>
      </c>
      <c r="C55" s="24" t="s">
        <v>205</v>
      </c>
      <c r="D55" s="24" t="s">
        <v>205</v>
      </c>
      <c r="E55" s="24" t="s">
        <v>205</v>
      </c>
      <c r="F55" s="23"/>
      <c r="G55" s="23" t="s">
        <v>246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customFormat="false" ht="15" hidden="false" customHeight="false" outlineLevel="0" collapsed="false">
      <c r="A56" s="23" t="s">
        <v>203</v>
      </c>
      <c r="B56" s="24" t="s">
        <v>245</v>
      </c>
      <c r="C56" s="24" t="s">
        <v>205</v>
      </c>
      <c r="D56" s="24" t="s">
        <v>205</v>
      </c>
      <c r="E56" s="24" t="s">
        <v>205</v>
      </c>
      <c r="F56" s="23"/>
      <c r="G56" s="23" t="s">
        <v>246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customFormat="false" ht="15" hidden="false" customHeight="false" outlineLevel="0" collapsed="false">
      <c r="A57" s="29" t="s">
        <v>203</v>
      </c>
      <c r="B57" s="30" t="s">
        <v>245</v>
      </c>
      <c r="C57" s="30" t="s">
        <v>205</v>
      </c>
      <c r="D57" s="30" t="s">
        <v>205</v>
      </c>
      <c r="E57" s="30" t="s">
        <v>205</v>
      </c>
      <c r="F57" s="29"/>
      <c r="G57" s="29" t="s">
        <v>246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customFormat="false" ht="15" hidden="false" customHeight="false" outlineLevel="0" collapsed="false">
      <c r="A58" s="23" t="s">
        <v>203</v>
      </c>
      <c r="B58" s="24" t="s">
        <v>247</v>
      </c>
      <c r="C58" s="24" t="s">
        <v>205</v>
      </c>
      <c r="D58" s="24" t="s">
        <v>205</v>
      </c>
      <c r="E58" s="24" t="s">
        <v>205</v>
      </c>
      <c r="F58" s="23"/>
      <c r="G58" s="23" t="s">
        <v>248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customFormat="false" ht="15" hidden="false" customHeight="false" outlineLevel="0" collapsed="false">
      <c r="A59" s="23" t="s">
        <v>203</v>
      </c>
      <c r="B59" s="24" t="s">
        <v>247</v>
      </c>
      <c r="C59" s="24" t="s">
        <v>205</v>
      </c>
      <c r="D59" s="24" t="s">
        <v>205</v>
      </c>
      <c r="E59" s="24" t="s">
        <v>205</v>
      </c>
      <c r="F59" s="23"/>
      <c r="G59" s="23" t="s">
        <v>248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customFormat="false" ht="15" hidden="false" customHeight="false" outlineLevel="0" collapsed="false">
      <c r="A60" s="29" t="s">
        <v>203</v>
      </c>
      <c r="B60" s="30" t="s">
        <v>247</v>
      </c>
      <c r="C60" s="30" t="s">
        <v>205</v>
      </c>
      <c r="D60" s="30" t="s">
        <v>205</v>
      </c>
      <c r="E60" s="30" t="s">
        <v>205</v>
      </c>
      <c r="F60" s="29"/>
      <c r="G60" s="29" t="s">
        <v>248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customFormat="false" ht="15" hidden="false" customHeight="false" outlineLevel="0" collapsed="false">
      <c r="A61" s="23" t="s">
        <v>203</v>
      </c>
      <c r="B61" s="24" t="s">
        <v>249</v>
      </c>
      <c r="C61" s="24" t="s">
        <v>205</v>
      </c>
      <c r="D61" s="24" t="s">
        <v>205</v>
      </c>
      <c r="E61" s="24" t="s">
        <v>205</v>
      </c>
      <c r="F61" s="23"/>
      <c r="G61" s="23" t="s">
        <v>250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customFormat="false" ht="15" hidden="false" customHeight="false" outlineLevel="0" collapsed="false">
      <c r="A62" s="23" t="s">
        <v>203</v>
      </c>
      <c r="B62" s="24" t="s">
        <v>249</v>
      </c>
      <c r="C62" s="24" t="s">
        <v>205</v>
      </c>
      <c r="D62" s="24" t="s">
        <v>205</v>
      </c>
      <c r="E62" s="24" t="s">
        <v>205</v>
      </c>
      <c r="F62" s="23"/>
      <c r="G62" s="23" t="s">
        <v>250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customFormat="false" ht="15" hidden="false" customHeight="false" outlineLevel="0" collapsed="false">
      <c r="A63" s="29" t="s">
        <v>203</v>
      </c>
      <c r="B63" s="30" t="s">
        <v>249</v>
      </c>
      <c r="C63" s="30" t="s">
        <v>205</v>
      </c>
      <c r="D63" s="30" t="s">
        <v>205</v>
      </c>
      <c r="E63" s="30" t="s">
        <v>205</v>
      </c>
      <c r="F63" s="29"/>
      <c r="G63" s="29" t="s">
        <v>250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customFormat="false" ht="15" hidden="false" customHeight="false" outlineLevel="0" collapsed="false">
      <c r="A64" s="23" t="s">
        <v>203</v>
      </c>
      <c r="B64" s="24" t="s">
        <v>251</v>
      </c>
      <c r="C64" s="24" t="s">
        <v>205</v>
      </c>
      <c r="D64" s="24" t="s">
        <v>205</v>
      </c>
      <c r="E64" s="24" t="s">
        <v>205</v>
      </c>
      <c r="F64" s="24" t="s">
        <v>252</v>
      </c>
      <c r="G64" s="23" t="s">
        <v>253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customFormat="false" ht="15" hidden="false" customHeight="false" outlineLevel="0" collapsed="false">
      <c r="A65" s="23" t="s">
        <v>203</v>
      </c>
      <c r="B65" s="24" t="s">
        <v>251</v>
      </c>
      <c r="C65" s="24" t="s">
        <v>205</v>
      </c>
      <c r="D65" s="24" t="s">
        <v>205</v>
      </c>
      <c r="E65" s="24" t="s">
        <v>205</v>
      </c>
      <c r="F65" s="24" t="s">
        <v>252</v>
      </c>
      <c r="G65" s="23" t="s">
        <v>253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customFormat="false" ht="15" hidden="false" customHeight="false" outlineLevel="0" collapsed="false">
      <c r="A66" s="29" t="s">
        <v>203</v>
      </c>
      <c r="B66" s="30" t="s">
        <v>251</v>
      </c>
      <c r="C66" s="30" t="s">
        <v>205</v>
      </c>
      <c r="D66" s="30" t="s">
        <v>205</v>
      </c>
      <c r="E66" s="30" t="s">
        <v>205</v>
      </c>
      <c r="F66" s="30" t="s">
        <v>252</v>
      </c>
      <c r="G66" s="29" t="s">
        <v>253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customFormat="false" ht="15" hidden="false" customHeight="false" outlineLevel="0" collapsed="false">
      <c r="A67" s="23" t="s">
        <v>203</v>
      </c>
      <c r="B67" s="24" t="s">
        <v>254</v>
      </c>
      <c r="C67" s="24" t="s">
        <v>205</v>
      </c>
      <c r="D67" s="24" t="s">
        <v>205</v>
      </c>
      <c r="E67" s="24" t="s">
        <v>205</v>
      </c>
      <c r="F67" s="23"/>
      <c r="G67" s="23" t="s">
        <v>255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customFormat="false" ht="15" hidden="false" customHeight="false" outlineLevel="0" collapsed="false">
      <c r="A68" s="23" t="s">
        <v>203</v>
      </c>
      <c r="B68" s="24" t="s">
        <v>254</v>
      </c>
      <c r="C68" s="24" t="s">
        <v>205</v>
      </c>
      <c r="D68" s="24" t="s">
        <v>205</v>
      </c>
      <c r="E68" s="24" t="s">
        <v>205</v>
      </c>
      <c r="F68" s="23"/>
      <c r="G68" s="23" t="s">
        <v>255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 customFormat="false" ht="15" hidden="false" customHeight="false" outlineLevel="0" collapsed="false">
      <c r="A69" s="29" t="s">
        <v>203</v>
      </c>
      <c r="B69" s="30" t="s">
        <v>254</v>
      </c>
      <c r="C69" s="30" t="s">
        <v>205</v>
      </c>
      <c r="D69" s="30" t="s">
        <v>205</v>
      </c>
      <c r="E69" s="30" t="s">
        <v>205</v>
      </c>
      <c r="F69" s="29"/>
      <c r="G69" s="29" t="s">
        <v>255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customFormat="false" ht="15" hidden="false" customHeight="false" outlineLevel="0" collapsed="false">
      <c r="A70" s="23" t="s">
        <v>203</v>
      </c>
      <c r="B70" s="24" t="s">
        <v>256</v>
      </c>
      <c r="C70" s="24" t="s">
        <v>205</v>
      </c>
      <c r="D70" s="24" t="s">
        <v>205</v>
      </c>
      <c r="E70" s="24" t="s">
        <v>205</v>
      </c>
      <c r="F70" s="23"/>
      <c r="G70" s="24" t="s">
        <v>257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customFormat="false" ht="15" hidden="false" customHeight="false" outlineLevel="0" collapsed="false">
      <c r="A71" s="23" t="s">
        <v>203</v>
      </c>
      <c r="B71" s="24" t="s">
        <v>256</v>
      </c>
      <c r="C71" s="24" t="s">
        <v>205</v>
      </c>
      <c r="D71" s="24" t="s">
        <v>205</v>
      </c>
      <c r="E71" s="24" t="s">
        <v>205</v>
      </c>
      <c r="F71" s="23"/>
      <c r="G71" s="24" t="s">
        <v>257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customFormat="false" ht="15" hidden="false" customHeight="false" outlineLevel="0" collapsed="false">
      <c r="A72" s="29" t="s">
        <v>203</v>
      </c>
      <c r="B72" s="30" t="s">
        <v>256</v>
      </c>
      <c r="C72" s="30" t="s">
        <v>205</v>
      </c>
      <c r="D72" s="30" t="s">
        <v>205</v>
      </c>
      <c r="E72" s="30" t="s">
        <v>205</v>
      </c>
      <c r="F72" s="29"/>
      <c r="G72" s="30" t="s">
        <v>257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customFormat="false" ht="15" hidden="false" customHeight="false" outlineLevel="0" collapsed="false">
      <c r="A73" s="23" t="s">
        <v>203</v>
      </c>
      <c r="B73" s="24" t="s">
        <v>258</v>
      </c>
      <c r="C73" s="24" t="s">
        <v>205</v>
      </c>
      <c r="D73" s="24" t="s">
        <v>205</v>
      </c>
      <c r="E73" s="24" t="s">
        <v>205</v>
      </c>
      <c r="F73" s="23"/>
      <c r="G73" s="23" t="s">
        <v>259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customFormat="false" ht="15" hidden="false" customHeight="false" outlineLevel="0" collapsed="false">
      <c r="A74" s="23" t="s">
        <v>203</v>
      </c>
      <c r="B74" s="24" t="s">
        <v>258</v>
      </c>
      <c r="C74" s="24" t="s">
        <v>205</v>
      </c>
      <c r="D74" s="24" t="s">
        <v>205</v>
      </c>
      <c r="E74" s="24" t="s">
        <v>205</v>
      </c>
      <c r="F74" s="23"/>
      <c r="G74" s="23" t="s">
        <v>259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customFormat="false" ht="15" hidden="false" customHeight="false" outlineLevel="0" collapsed="false">
      <c r="A75" s="29" t="s">
        <v>203</v>
      </c>
      <c r="B75" s="30" t="s">
        <v>258</v>
      </c>
      <c r="C75" s="30" t="s">
        <v>205</v>
      </c>
      <c r="D75" s="30" t="s">
        <v>205</v>
      </c>
      <c r="E75" s="30" t="s">
        <v>205</v>
      </c>
      <c r="F75" s="29"/>
      <c r="G75" s="29" t="s">
        <v>259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customFormat="false" ht="15" hidden="false" customHeight="false" outlineLevel="0" collapsed="false">
      <c r="A76" s="23" t="s">
        <v>203</v>
      </c>
      <c r="B76" s="24" t="s">
        <v>260</v>
      </c>
      <c r="C76" s="24" t="s">
        <v>205</v>
      </c>
      <c r="D76" s="24" t="s">
        <v>205</v>
      </c>
      <c r="E76" s="24" t="s">
        <v>205</v>
      </c>
      <c r="F76" s="23" t="s">
        <v>261</v>
      </c>
      <c r="G76" s="23" t="s">
        <v>262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customFormat="false" ht="15" hidden="false" customHeight="false" outlineLevel="0" collapsed="false">
      <c r="A77" s="23" t="s">
        <v>203</v>
      </c>
      <c r="B77" s="24" t="s">
        <v>260</v>
      </c>
      <c r="C77" s="24" t="s">
        <v>205</v>
      </c>
      <c r="D77" s="24" t="s">
        <v>205</v>
      </c>
      <c r="E77" s="24" t="s">
        <v>205</v>
      </c>
      <c r="F77" s="23" t="s">
        <v>261</v>
      </c>
      <c r="G77" s="23" t="s">
        <v>262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 customFormat="false" ht="15" hidden="false" customHeight="false" outlineLevel="0" collapsed="false">
      <c r="A78" s="29" t="s">
        <v>203</v>
      </c>
      <c r="B78" s="30" t="s">
        <v>260</v>
      </c>
      <c r="C78" s="30" t="s">
        <v>205</v>
      </c>
      <c r="D78" s="30" t="s">
        <v>205</v>
      </c>
      <c r="E78" s="30" t="s">
        <v>205</v>
      </c>
      <c r="F78" s="29" t="s">
        <v>261</v>
      </c>
      <c r="G78" s="29" t="s">
        <v>262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</row>
  </sheetData>
  <dataValidations count="4">
    <dataValidation allowBlank="true" error="목록에서 고르세요." errorStyle="stop" errorTitle="값 확인" operator="between" showDropDown="false" showErrorMessage="false" showInputMessage="false" sqref="J4:J78" type="list">
      <formula1>"주절,연결절,보고절,내용절,명사성 틀,-"</formula1>
      <formula2>0</formula2>
    </dataValidation>
    <dataValidation allowBlank="true" error="목록에서 고르세요." errorStyle="stop" errorTitle="값 확인" operator="between" showDropDown="false" showErrorMessage="false" showInputMessage="false" sqref="L4:L78" type="list">
      <formula1>"T1,T2,T3,T4,T5,유보,C5"</formula1>
      <formula2>0</formula2>
    </dataValidation>
    <dataValidation allowBlank="true" error="목록에서 고르세요." errorStyle="stop" errorTitle="값 확인" operator="between" showDropDown="false" showErrorMessage="false" showInputMessage="false" sqref="M4:M78" type="list">
      <formula1>"범위,연결·논평만,명시 없음,유보,절 아님"</formula1>
      <formula2>0</formula2>
    </dataValidation>
    <dataValidation allowBlank="true" error="목록에서 고르세요." errorStyle="stop" errorTitle="값 확인" operator="between" showDropDown="false" showErrorMessage="false" showInputMessage="false" sqref="P4:P78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50"/>
  </cols>
  <sheetData>
    <row r="1" customFormat="false" ht="17.15" hidden="false" customHeight="false" outlineLevel="0" collapsed="false">
      <c r="A1" s="13" t="s">
        <v>263</v>
      </c>
    </row>
    <row r="2" customFormat="false" ht="15" hidden="false" customHeight="false" outlineLevel="0" collapsed="false">
      <c r="A2" s="14" t="s">
        <v>264</v>
      </c>
    </row>
    <row r="4" customFormat="false" ht="15" hidden="false" customHeight="false" outlineLevel="0" collapsed="false">
      <c r="A4" s="32" t="s">
        <v>3</v>
      </c>
      <c r="B4" s="4"/>
      <c r="C4" s="4"/>
      <c r="D4" s="4"/>
    </row>
    <row r="5" customFormat="false" ht="15" hidden="false" customHeight="false" outlineLevel="0" collapsed="false">
      <c r="A5" s="33" t="s">
        <v>265</v>
      </c>
      <c r="B5" s="34" t="n">
        <f aca="false">SUMPRODUCT((독립판정!$B$6:$B$400&lt;&gt;"")/COUNTIF(독립판정!$B$6:$B$400,독립판정!$B$6:$B$400&amp;""))</f>
        <v>0</v>
      </c>
    </row>
    <row r="6" customFormat="false" ht="15" hidden="false" customHeight="false" outlineLevel="0" collapsed="false">
      <c r="A6" s="33" t="s">
        <v>266</v>
      </c>
      <c r="B6" s="34" t="n">
        <f aca="false">COUNTIF(독립판정!$H$6:$H$400,"U*")</f>
        <v>0</v>
      </c>
    </row>
    <row r="7" customFormat="false" ht="15" hidden="false" customHeight="false" outlineLevel="0" collapsed="false">
      <c r="A7" s="33" t="s">
        <v>267</v>
      </c>
      <c r="B7" s="34" t="n">
        <f aca="false">COUNTIF(독립판정!$L$6:$L$400,"T1")</f>
        <v>0</v>
      </c>
    </row>
    <row r="8" customFormat="false" ht="15" hidden="false" customHeight="false" outlineLevel="0" collapsed="false">
      <c r="A8" s="33" t="s">
        <v>268</v>
      </c>
      <c r="B8" s="34" t="n">
        <f aca="false">COUNTIF(독립판정!$L$6:$L$400,"T2")</f>
        <v>0</v>
      </c>
    </row>
    <row r="9" customFormat="false" ht="15" hidden="false" customHeight="false" outlineLevel="0" collapsed="false">
      <c r="A9" s="33" t="s">
        <v>269</v>
      </c>
      <c r="B9" s="34" t="n">
        <f aca="false">COUNTIF(독립판정!$L$6:$L$400,"T3")</f>
        <v>0</v>
      </c>
    </row>
    <row r="10" customFormat="false" ht="15" hidden="false" customHeight="false" outlineLevel="0" collapsed="false">
      <c r="A10" s="33" t="s">
        <v>270</v>
      </c>
      <c r="B10" s="34" t="n">
        <f aca="false">COUNTIF(독립판정!$L$6:$L$400,"T4")</f>
        <v>0</v>
      </c>
    </row>
    <row r="11" customFormat="false" ht="15" hidden="false" customHeight="false" outlineLevel="0" collapsed="false">
      <c r="A11" s="33" t="s">
        <v>271</v>
      </c>
      <c r="B11" s="34" t="n">
        <f aca="false">COUNTIF(독립판정!$L$6:$L$400,"T5")</f>
        <v>0</v>
      </c>
    </row>
    <row r="12" customFormat="false" ht="15" hidden="false" customHeight="false" outlineLevel="0" collapsed="false">
      <c r="A12" s="33" t="s">
        <v>272</v>
      </c>
      <c r="B12" s="34" t="n">
        <f aca="false">COUNTIF(독립판정!$L$6:$L$400,"유보")</f>
        <v>0</v>
      </c>
    </row>
    <row r="13" customFormat="false" ht="15" hidden="false" customHeight="false" outlineLevel="0" collapsed="false">
      <c r="A13" s="33" t="s">
        <v>273</v>
      </c>
      <c r="B13" s="34" t="n">
        <f aca="false">COUNTIF(독립판정!$L$6:$L$400,"C5")</f>
        <v>0</v>
      </c>
    </row>
    <row r="14" customFormat="false" ht="15" hidden="false" customHeight="false" outlineLevel="0" collapsed="false">
      <c r="A14" s="33" t="s">
        <v>274</v>
      </c>
      <c r="B14" s="34" t="n">
        <f aca="false">COUNTIF(독립판정!$M$6:$M$400,"범위")</f>
        <v>0</v>
      </c>
    </row>
    <row r="15" customFormat="false" ht="15" hidden="false" customHeight="false" outlineLevel="0" collapsed="false">
      <c r="A15" s="33" t="s">
        <v>275</v>
      </c>
      <c r="B15" s="34" t="n">
        <f aca="false">COUNTIF(독립판정!$M$6:$M$400,"연결·논평만")</f>
        <v>0</v>
      </c>
    </row>
    <row r="16" customFormat="false" ht="15" hidden="false" customHeight="false" outlineLevel="0" collapsed="false">
      <c r="A16" s="33" t="s">
        <v>276</v>
      </c>
      <c r="B16" s="34" t="n">
        <f aca="false">COUNTIF(독립판정!$M$6:$M$400,"명시 없음")</f>
        <v>0</v>
      </c>
    </row>
    <row r="17" customFormat="false" ht="15" hidden="false" customHeight="false" outlineLevel="0" collapsed="false">
      <c r="A17" s="33" t="s">
        <v>277</v>
      </c>
      <c r="B17" s="34" t="n">
        <f aca="false">COUNTIF(독립판정!$M$6:$M$400,"유보")</f>
        <v>0</v>
      </c>
    </row>
    <row r="18" customFormat="false" ht="15" hidden="false" customHeight="false" outlineLevel="0" collapsed="false">
      <c r="A18" s="33" t="s">
        <v>278</v>
      </c>
      <c r="B18" s="34" t="n">
        <f aca="false">COUNTIF(독립판정!$M$6:$M$400,"절 아님")</f>
        <v>0</v>
      </c>
    </row>
    <row r="19" customFormat="false" ht="15" hidden="false" customHeight="false" outlineLevel="0" collapsed="false">
      <c r="A19" s="33" t="s">
        <v>279</v>
      </c>
      <c r="B19" s="34" t="n">
        <f aca="false">COUNTIF(독립판정!$P$6:$P$400,"하")</f>
        <v>0</v>
      </c>
      <c r="D19" s="14" t="s">
        <v>280</v>
      </c>
    </row>
    <row r="20" customFormat="false" ht="15" hidden="false" customHeight="false" outlineLevel="0" collapsed="false">
      <c r="A20" s="33" t="s">
        <v>281</v>
      </c>
      <c r="B20" s="34" t="n">
        <f aca="false">SUMPRODUCT((독립판정!$B$6:$B$400&lt;&gt;"")*(독립판정!$L$6:$L$400=""))</f>
        <v>0</v>
      </c>
      <c r="D20" s="35" t="s">
        <v>282</v>
      </c>
    </row>
    <row r="22" customFormat="false" ht="15" hidden="false" customHeight="false" outlineLevel="0" collapsed="false">
      <c r="A22" s="32" t="s">
        <v>5</v>
      </c>
      <c r="B22" s="4"/>
      <c r="C22" s="4"/>
      <c r="D22" s="4"/>
    </row>
    <row r="23" customFormat="false" ht="15" hidden="false" customHeight="false" outlineLevel="0" collapsed="false">
      <c r="A23" s="33" t="s">
        <v>265</v>
      </c>
      <c r="B23" s="34" t="n">
        <f aca="false">SUMPRODUCT(('검토(AI초안)'!$B$6:$B$700&lt;&gt;"")/COUNTIF('검토(AI초안)'!$B$6:$B$700,'검토(AI초안)'!$B$6:$B$700&amp;""))</f>
        <v>0</v>
      </c>
    </row>
    <row r="24" customFormat="false" ht="15" hidden="false" customHeight="false" outlineLevel="0" collapsed="false">
      <c r="A24" s="33" t="s">
        <v>283</v>
      </c>
      <c r="B24" s="34" t="n">
        <f aca="false">COUNTIF('검토(AI초안)'!$N$6:$N$700,"수용")+COUNTIF('검토(AI초안)'!$N$6:$N$700,"수정")</f>
        <v>0</v>
      </c>
    </row>
    <row r="25" customFormat="false" ht="15" hidden="false" customHeight="false" outlineLevel="0" collapsed="false">
      <c r="A25" s="33" t="s">
        <v>284</v>
      </c>
      <c r="B25" s="34" t="n">
        <f aca="false">COUNTIF('검토(AI초안)'!$N$6:$N$700,"수정")</f>
        <v>0</v>
      </c>
    </row>
    <row r="26" customFormat="false" ht="15" hidden="false" customHeight="false" outlineLevel="0" collapsed="false">
      <c r="A26" s="33" t="s">
        <v>285</v>
      </c>
      <c r="B26" s="36" t="str">
        <f aca="false">IF(B24=0,"",B25/B24)</f>
        <v/>
      </c>
      <c r="D26" s="14" t="s">
        <v>286</v>
      </c>
    </row>
    <row r="27" customFormat="false" ht="15" hidden="false" customHeight="false" outlineLevel="0" collapsed="false">
      <c r="A27" s="33" t="s">
        <v>287</v>
      </c>
      <c r="B27" s="34" t="n">
        <f aca="false">SUMPRODUCT(('검토(AI초안)'!$B$6:$B$700&lt;&gt;"")*(COUNTIFS('검토(AI초안)'!$B$6:$B$700,'검토(AI초안)'!$B$6:$B$700,'검토(AI초안)'!$N$6:$N$700,"수정")&gt;0)/COUNTIF('검토(AI초안)'!$B$6:$B$700,'검토(AI초안)'!$B$6:$B$700&amp;""))</f>
        <v>0</v>
      </c>
    </row>
    <row r="28" customFormat="false" ht="15" hidden="false" customHeight="false" outlineLevel="0" collapsed="false">
      <c r="A28" s="33" t="s">
        <v>288</v>
      </c>
      <c r="B28" s="36" t="str">
        <f aca="false">IF(B23=0,"",B27/B23)</f>
        <v/>
      </c>
      <c r="D28" s="35" t="s">
        <v>289</v>
      </c>
    </row>
    <row r="29" customFormat="false" ht="15" hidden="false" customHeight="false" outlineLevel="0" collapsed="false">
      <c r="A29" s="33" t="s">
        <v>290</v>
      </c>
      <c r="B29" s="34" t="n">
        <f aca="false">SUMPRODUCT(('검토(AI초안)'!$N$6:$N$700="수정")*('검토(AI초안)'!$T$6:$T$700&lt;&gt;'검토(AI초안)'!$J$6:$J$700))</f>
        <v>0</v>
      </c>
    </row>
    <row r="30" customFormat="false" ht="15" hidden="false" customHeight="false" outlineLevel="0" collapsed="false">
      <c r="A30" s="33" t="s">
        <v>291</v>
      </c>
      <c r="B30" s="34" t="n">
        <f aca="false">SUMPRODUCT(('검토(AI초안)'!$B$6:$B$700&lt;&gt;"")*('검토(AI초안)'!$N$6:$N$700=""))</f>
        <v>0</v>
      </c>
      <c r="D30" s="35" t="s">
        <v>292</v>
      </c>
    </row>
    <row r="31" customFormat="false" ht="15" hidden="false" customHeight="false" outlineLevel="0" collapsed="false">
      <c r="A31" s="33" t="s">
        <v>293</v>
      </c>
    </row>
    <row r="32" customFormat="false" ht="15" hidden="false" customHeight="false" outlineLevel="0" collapsed="false">
      <c r="A32" s="33" t="s">
        <v>294</v>
      </c>
      <c r="B32" s="34" t="n">
        <f aca="false">COUNTIF('검토(AI초안)'!$R$6:$R$700,"단위 나누기")</f>
        <v>0</v>
      </c>
    </row>
    <row r="33" customFormat="false" ht="15" hidden="false" customHeight="false" outlineLevel="0" collapsed="false">
      <c r="A33" s="33" t="s">
        <v>295</v>
      </c>
      <c r="B33" s="34" t="n">
        <f aca="false">COUNTIF('검토(AI초안)'!$R$6:$R$700,"주어 식별")</f>
        <v>0</v>
      </c>
    </row>
    <row r="34" customFormat="false" ht="15" hidden="false" customHeight="false" outlineLevel="0" collapsed="false">
      <c r="A34" s="33" t="s">
        <v>296</v>
      </c>
      <c r="B34" s="34" t="n">
        <f aca="false">COUNTIF('검토(AI초안)'!$R$6:$R$700,"범위 시작")</f>
        <v>0</v>
      </c>
    </row>
    <row r="35" customFormat="false" ht="15" hidden="false" customHeight="false" outlineLevel="0" collapsed="false">
      <c r="A35" s="33" t="s">
        <v>297</v>
      </c>
      <c r="B35" s="34" t="n">
        <f aca="false">COUNTIF('검토(AI초안)'!$R$6:$R$700,"범위 끝")</f>
        <v>0</v>
      </c>
    </row>
    <row r="36" customFormat="false" ht="15" hidden="false" customHeight="false" outlineLevel="0" collapsed="false">
      <c r="A36" s="37" t="s">
        <v>298</v>
      </c>
      <c r="B36" s="34" t="n">
        <f aca="false">COUNTIF('검토(AI초안)'!$R$6:$R$700,"T3 은/는 성분")</f>
        <v>0</v>
      </c>
    </row>
    <row r="37" customFormat="false" ht="15" hidden="false" customHeight="false" outlineLevel="0" collapsed="false">
      <c r="A37" s="37" t="s">
        <v>299</v>
      </c>
      <c r="B37" s="34" t="n">
        <f aca="false">COUNTIF('검토(AI초안)'!$R$6:$R$700,"T4·T5 구분")</f>
        <v>0</v>
      </c>
    </row>
    <row r="38" customFormat="false" ht="15" hidden="false" customHeight="false" outlineLevel="0" collapsed="false">
      <c r="A38" s="33" t="s">
        <v>300</v>
      </c>
      <c r="B38" s="34" t="n">
        <f aca="false">COUNTIF('검토(AI초안)'!$R$6:$R$700,"명사성 틀")</f>
        <v>0</v>
      </c>
    </row>
    <row r="39" customFormat="false" ht="15" hidden="false" customHeight="false" outlineLevel="0" collapsed="false">
      <c r="A39" s="33" t="s">
        <v>301</v>
      </c>
      <c r="B39" s="34" t="n">
        <f aca="false">COUNTIF('검토(AI초안)'!$R$6:$R$700,"연결·논평 기록")</f>
        <v>0</v>
      </c>
    </row>
    <row r="40" customFormat="false" ht="15" hidden="false" customHeight="false" outlineLevel="0" collapsed="false">
      <c r="A40" s="33" t="s">
        <v>302</v>
      </c>
      <c r="B40" s="34" t="n">
        <f aca="false">COUNTIF('검토(AI초안)'!$R$6:$R$700,"유보 여부")</f>
        <v>0</v>
      </c>
    </row>
    <row r="41" customFormat="false" ht="15" hidden="false" customHeight="false" outlineLevel="0" collapsed="false">
      <c r="A41" s="33" t="s">
        <v>303</v>
      </c>
      <c r="B41" s="34" t="n">
        <f aca="false">COUNTIF('검토(AI초안)'!$R$6:$R$700,"기타")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2026-10-05T03:43:30Z</dcterms:created>
  <dc:creator>openpyxl</dc:creator>
  <dc:description/>
  <dc:language>en-US</dc:language>
  <cp:lastModifiedBy/>
  <dcterms:modified xsi:type="dcterms:W3CDTF">2026-10-05T03:43:31Z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